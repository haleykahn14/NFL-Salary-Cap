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zachary_l_philip_vanderbilt_edu/Documents/Classes/CS 3892/"/>
    </mc:Choice>
  </mc:AlternateContent>
  <xr:revisionPtr revIDLastSave="0" documentId="8_{764DC8F2-B010-4DE2-8FBF-BEF6660E1179}" xr6:coauthVersionLast="47" xr6:coauthVersionMax="47" xr10:uidLastSave="{00000000-0000-0000-0000-000000000000}"/>
  <bookViews>
    <workbookView xWindow="0" yWindow="0" windowWidth="38400" windowHeight="21600" xr2:uid="{9A103613-BE6B-4181-B631-85EFFCA15EA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" i="1" l="1"/>
  <c r="BD3" i="1" s="1"/>
  <c r="BC4" i="1"/>
  <c r="BD4" i="1" s="1"/>
  <c r="BC5" i="1"/>
  <c r="BD5" i="1" s="1"/>
  <c r="BC6" i="1"/>
  <c r="BD6" i="1" s="1"/>
  <c r="BC7" i="1"/>
  <c r="BD7" i="1" s="1"/>
  <c r="BC8" i="1"/>
  <c r="BD8" i="1" s="1"/>
  <c r="BC9" i="1"/>
  <c r="BD9" i="1" s="1"/>
  <c r="BC10" i="1"/>
  <c r="BD10" i="1" s="1"/>
  <c r="BC11" i="1"/>
  <c r="BD11" i="1" s="1"/>
  <c r="BC12" i="1"/>
  <c r="BD12" i="1" s="1"/>
  <c r="BC13" i="1"/>
  <c r="BD13" i="1" s="1"/>
  <c r="BC14" i="1"/>
  <c r="BD14" i="1" s="1"/>
  <c r="BC15" i="1"/>
  <c r="BD15" i="1" s="1"/>
  <c r="BC16" i="1"/>
  <c r="BD16" i="1" s="1"/>
  <c r="BC17" i="1"/>
  <c r="BD17" i="1" s="1"/>
  <c r="BC18" i="1"/>
  <c r="BD18" i="1" s="1"/>
  <c r="BC19" i="1"/>
  <c r="BD19" i="1" s="1"/>
  <c r="BC20" i="1"/>
  <c r="BD20" i="1" s="1"/>
  <c r="BC21" i="1"/>
  <c r="BD21" i="1" s="1"/>
  <c r="BC22" i="1"/>
  <c r="BD22" i="1" s="1"/>
  <c r="BC23" i="1"/>
  <c r="BD23" i="1" s="1"/>
  <c r="BC24" i="1"/>
  <c r="BD24" i="1" s="1"/>
  <c r="BC25" i="1"/>
  <c r="BD25" i="1" s="1"/>
  <c r="BC26" i="1"/>
  <c r="BD26" i="1" s="1"/>
  <c r="BC27" i="1"/>
  <c r="BD27" i="1" s="1"/>
  <c r="BC28" i="1"/>
  <c r="BD28" i="1" s="1"/>
  <c r="BC29" i="1"/>
  <c r="BD29" i="1" s="1"/>
  <c r="BC30" i="1"/>
  <c r="BD30" i="1" s="1"/>
  <c r="BC31" i="1"/>
  <c r="BD31" i="1" s="1"/>
  <c r="BC32" i="1"/>
  <c r="BD32" i="1" s="1"/>
  <c r="BC33" i="1"/>
  <c r="BD33" i="1" s="1"/>
  <c r="BC34" i="1"/>
  <c r="BD34" i="1" s="1"/>
  <c r="BC35" i="1"/>
  <c r="BD35" i="1" s="1"/>
  <c r="BC36" i="1"/>
  <c r="BD36" i="1" s="1"/>
  <c r="BC37" i="1"/>
  <c r="BD37" i="1" s="1"/>
  <c r="BC38" i="1"/>
  <c r="BD38" i="1" s="1"/>
  <c r="BC39" i="1"/>
  <c r="BD39" i="1" s="1"/>
  <c r="BC40" i="1"/>
  <c r="BD40" i="1" s="1"/>
  <c r="BC41" i="1"/>
  <c r="BD41" i="1" s="1"/>
  <c r="BC42" i="1"/>
  <c r="BD42" i="1" s="1"/>
  <c r="BC43" i="1"/>
  <c r="BD43" i="1" s="1"/>
  <c r="BC44" i="1"/>
  <c r="BD44" i="1" s="1"/>
  <c r="BC45" i="1"/>
  <c r="BD45" i="1" s="1"/>
  <c r="BC46" i="1"/>
  <c r="BD46" i="1" s="1"/>
  <c r="BC47" i="1"/>
  <c r="BD47" i="1" s="1"/>
  <c r="BC48" i="1"/>
  <c r="BD48" i="1" s="1"/>
  <c r="BC49" i="1"/>
  <c r="BD49" i="1" s="1"/>
  <c r="BC50" i="1"/>
  <c r="BD50" i="1" s="1"/>
  <c r="BC51" i="1"/>
  <c r="BD51" i="1" s="1"/>
  <c r="BC52" i="1"/>
  <c r="BD52" i="1" s="1"/>
  <c r="BC53" i="1"/>
  <c r="BD53" i="1" s="1"/>
  <c r="BC54" i="1"/>
  <c r="BD54" i="1" s="1"/>
  <c r="BC55" i="1"/>
  <c r="BD55" i="1" s="1"/>
  <c r="BC56" i="1"/>
  <c r="BD56" i="1" s="1"/>
  <c r="BC57" i="1"/>
  <c r="BD57" i="1" s="1"/>
  <c r="BC58" i="1"/>
  <c r="BD58" i="1" s="1"/>
  <c r="BC59" i="1"/>
  <c r="BD59" i="1" s="1"/>
  <c r="BC60" i="1"/>
  <c r="BD60" i="1" s="1"/>
  <c r="BC61" i="1"/>
  <c r="BD61" i="1" s="1"/>
  <c r="BC62" i="1"/>
  <c r="BD62" i="1" s="1"/>
  <c r="BC63" i="1"/>
  <c r="BD63" i="1" s="1"/>
  <c r="BC64" i="1"/>
  <c r="BD64" i="1" s="1"/>
  <c r="BC65" i="1"/>
  <c r="BD65" i="1" s="1"/>
  <c r="BC66" i="1"/>
  <c r="BD66" i="1" s="1"/>
  <c r="BC67" i="1"/>
  <c r="BD67" i="1" s="1"/>
  <c r="BC68" i="1"/>
  <c r="BD68" i="1" s="1"/>
  <c r="BC69" i="1"/>
  <c r="BD69" i="1" s="1"/>
  <c r="BC70" i="1"/>
  <c r="BD70" i="1" s="1"/>
  <c r="BC71" i="1"/>
  <c r="BD71" i="1" s="1"/>
  <c r="BC72" i="1"/>
  <c r="BD72" i="1" s="1"/>
  <c r="BC73" i="1"/>
  <c r="BD73" i="1" s="1"/>
  <c r="BC74" i="1"/>
  <c r="BD74" i="1" s="1"/>
  <c r="BC75" i="1"/>
  <c r="BD75" i="1" s="1"/>
  <c r="BC76" i="1"/>
  <c r="BD76" i="1" s="1"/>
  <c r="BC77" i="1"/>
  <c r="BD77" i="1" s="1"/>
  <c r="BC78" i="1"/>
  <c r="BD78" i="1" s="1"/>
  <c r="BC79" i="1"/>
  <c r="BD79" i="1" s="1"/>
  <c r="BC80" i="1"/>
  <c r="BD80" i="1" s="1"/>
  <c r="BC81" i="1"/>
  <c r="BD81" i="1" s="1"/>
  <c r="BC82" i="1"/>
  <c r="BD82" i="1" s="1"/>
  <c r="BC83" i="1"/>
  <c r="BD83" i="1" s="1"/>
  <c r="BC84" i="1"/>
  <c r="BD84" i="1" s="1"/>
  <c r="BC85" i="1"/>
  <c r="BD85" i="1" s="1"/>
  <c r="BC86" i="1"/>
  <c r="BD86" i="1" s="1"/>
  <c r="BC87" i="1"/>
  <c r="BD87" i="1" s="1"/>
  <c r="BC88" i="1"/>
  <c r="BD88" i="1" s="1"/>
  <c r="BC89" i="1"/>
  <c r="BD89" i="1" s="1"/>
  <c r="BC90" i="1"/>
  <c r="BD90" i="1" s="1"/>
  <c r="BC91" i="1"/>
  <c r="BD91" i="1" s="1"/>
  <c r="BC92" i="1"/>
  <c r="BD92" i="1" s="1"/>
  <c r="BC93" i="1"/>
  <c r="BD93" i="1" s="1"/>
  <c r="BC94" i="1"/>
  <c r="BD94" i="1" s="1"/>
  <c r="BC95" i="1"/>
  <c r="BD95" i="1" s="1"/>
  <c r="BC96" i="1"/>
  <c r="BD96" i="1" s="1"/>
  <c r="BC97" i="1"/>
  <c r="BD97" i="1" s="1"/>
  <c r="BC98" i="1"/>
  <c r="BD98" i="1" s="1"/>
  <c r="BC99" i="1"/>
  <c r="BD99" i="1" s="1"/>
  <c r="BC100" i="1"/>
  <c r="BD100" i="1" s="1"/>
  <c r="BC101" i="1"/>
  <c r="BD101" i="1" s="1"/>
  <c r="BC102" i="1"/>
  <c r="BD102" i="1" s="1"/>
  <c r="BC103" i="1"/>
  <c r="BD103" i="1" s="1"/>
  <c r="BC104" i="1"/>
  <c r="BD104" i="1" s="1"/>
  <c r="BC105" i="1"/>
  <c r="BD105" i="1" s="1"/>
  <c r="BC106" i="1"/>
  <c r="BD106" i="1" s="1"/>
  <c r="BC107" i="1"/>
  <c r="BD107" i="1" s="1"/>
  <c r="BC108" i="1"/>
  <c r="BD108" i="1" s="1"/>
  <c r="BC109" i="1"/>
  <c r="BD109" i="1" s="1"/>
  <c r="BC110" i="1"/>
  <c r="BD110" i="1" s="1"/>
  <c r="BC111" i="1"/>
  <c r="BD111" i="1" s="1"/>
  <c r="BC112" i="1"/>
  <c r="BD112" i="1" s="1"/>
  <c r="BC113" i="1"/>
  <c r="BD113" i="1" s="1"/>
  <c r="BC114" i="1"/>
  <c r="BD114" i="1" s="1"/>
  <c r="BC115" i="1"/>
  <c r="BD115" i="1" s="1"/>
  <c r="BC116" i="1"/>
  <c r="BD116" i="1" s="1"/>
  <c r="BC117" i="1"/>
  <c r="BD117" i="1" s="1"/>
  <c r="BC118" i="1"/>
  <c r="BD118" i="1" s="1"/>
  <c r="BC119" i="1"/>
  <c r="BD119" i="1" s="1"/>
  <c r="BC120" i="1"/>
  <c r="BD120" i="1" s="1"/>
  <c r="BC121" i="1"/>
  <c r="BD121" i="1" s="1"/>
  <c r="BC122" i="1"/>
  <c r="BD122" i="1" s="1"/>
  <c r="BC123" i="1"/>
  <c r="BD123" i="1" s="1"/>
  <c r="BC124" i="1"/>
  <c r="BD124" i="1" s="1"/>
  <c r="BC125" i="1"/>
  <c r="BD125" i="1" s="1"/>
  <c r="BC126" i="1"/>
  <c r="BD126" i="1" s="1"/>
  <c r="BC127" i="1"/>
  <c r="BD127" i="1" s="1"/>
  <c r="BC128" i="1"/>
  <c r="BD128" i="1" s="1"/>
  <c r="BC129" i="1"/>
  <c r="BD129" i="1" s="1"/>
  <c r="BC130" i="1"/>
  <c r="BD130" i="1" s="1"/>
  <c r="BC131" i="1"/>
  <c r="BD131" i="1" s="1"/>
  <c r="BC132" i="1"/>
  <c r="BD132" i="1" s="1"/>
  <c r="BC133" i="1"/>
  <c r="BD133" i="1" s="1"/>
  <c r="BC134" i="1"/>
  <c r="BD134" i="1" s="1"/>
  <c r="BC135" i="1"/>
  <c r="BD135" i="1" s="1"/>
  <c r="BC136" i="1"/>
  <c r="BD136" i="1" s="1"/>
  <c r="BC137" i="1"/>
  <c r="BD137" i="1" s="1"/>
  <c r="BC138" i="1"/>
  <c r="BD138" i="1" s="1"/>
  <c r="BC139" i="1"/>
  <c r="BD139" i="1" s="1"/>
  <c r="BC140" i="1"/>
  <c r="BD140" i="1" s="1"/>
  <c r="BC141" i="1"/>
  <c r="BD141" i="1" s="1"/>
  <c r="BC142" i="1"/>
  <c r="BD142" i="1" s="1"/>
  <c r="BC143" i="1"/>
  <c r="BD143" i="1" s="1"/>
  <c r="BC144" i="1"/>
  <c r="BD144" i="1" s="1"/>
  <c r="BC145" i="1"/>
  <c r="BD145" i="1" s="1"/>
  <c r="BC146" i="1"/>
  <c r="BD146" i="1" s="1"/>
  <c r="BC147" i="1"/>
  <c r="BD147" i="1" s="1"/>
  <c r="BC148" i="1"/>
  <c r="BD148" i="1" s="1"/>
  <c r="BC149" i="1"/>
  <c r="BD149" i="1" s="1"/>
  <c r="BC150" i="1"/>
  <c r="BD150" i="1" s="1"/>
  <c r="BC151" i="1"/>
  <c r="BD151" i="1" s="1"/>
  <c r="BC152" i="1"/>
  <c r="BD152" i="1" s="1"/>
  <c r="BC153" i="1"/>
  <c r="BD153" i="1" s="1"/>
  <c r="BC154" i="1"/>
  <c r="BD154" i="1" s="1"/>
  <c r="BC155" i="1"/>
  <c r="BD155" i="1" s="1"/>
  <c r="BC156" i="1"/>
  <c r="BD156" i="1" s="1"/>
  <c r="BC157" i="1"/>
  <c r="BD157" i="1" s="1"/>
  <c r="BC158" i="1"/>
  <c r="BD158" i="1" s="1"/>
  <c r="BC159" i="1"/>
  <c r="BD159" i="1" s="1"/>
  <c r="BC160" i="1"/>
  <c r="BD160" i="1" s="1"/>
  <c r="BC161" i="1"/>
  <c r="BD161" i="1" s="1"/>
  <c r="BC162" i="1"/>
  <c r="BD162" i="1" s="1"/>
  <c r="BC163" i="1"/>
  <c r="BD163" i="1" s="1"/>
  <c r="BC164" i="1"/>
  <c r="BD164" i="1" s="1"/>
  <c r="BC165" i="1"/>
  <c r="BD165" i="1" s="1"/>
  <c r="BC166" i="1"/>
  <c r="BD166" i="1" s="1"/>
  <c r="BC167" i="1"/>
  <c r="BD167" i="1" s="1"/>
  <c r="BC168" i="1"/>
  <c r="BD168" i="1" s="1"/>
  <c r="BC169" i="1"/>
  <c r="BD169" i="1" s="1"/>
  <c r="BC170" i="1"/>
  <c r="BD170" i="1" s="1"/>
  <c r="BC171" i="1"/>
  <c r="BD171" i="1" s="1"/>
  <c r="BC172" i="1"/>
  <c r="BD172" i="1" s="1"/>
  <c r="BC173" i="1"/>
  <c r="BD173" i="1" s="1"/>
  <c r="BC174" i="1"/>
  <c r="BD174" i="1" s="1"/>
  <c r="BC175" i="1"/>
  <c r="BD175" i="1" s="1"/>
  <c r="BC176" i="1"/>
  <c r="BD176" i="1" s="1"/>
  <c r="BC177" i="1"/>
  <c r="BD177" i="1" s="1"/>
  <c r="BC178" i="1"/>
  <c r="BD178" i="1" s="1"/>
  <c r="BC179" i="1"/>
  <c r="BD179" i="1" s="1"/>
  <c r="BC180" i="1"/>
  <c r="BD180" i="1" s="1"/>
  <c r="BC181" i="1"/>
  <c r="BD181" i="1" s="1"/>
  <c r="BC182" i="1"/>
  <c r="BD182" i="1" s="1"/>
  <c r="BC183" i="1"/>
  <c r="BD183" i="1" s="1"/>
  <c r="BC184" i="1"/>
  <c r="BD184" i="1" s="1"/>
  <c r="BC185" i="1"/>
  <c r="BD185" i="1" s="1"/>
  <c r="BC186" i="1"/>
  <c r="BD186" i="1" s="1"/>
  <c r="BC187" i="1"/>
  <c r="BD187" i="1" s="1"/>
  <c r="BC188" i="1"/>
  <c r="BD188" i="1" s="1"/>
  <c r="BC189" i="1"/>
  <c r="BD189" i="1" s="1"/>
  <c r="BC190" i="1"/>
  <c r="BD190" i="1" s="1"/>
  <c r="BC191" i="1"/>
  <c r="BD191" i="1" s="1"/>
  <c r="BC192" i="1"/>
  <c r="BD192" i="1" s="1"/>
  <c r="BC193" i="1"/>
  <c r="BD193" i="1" s="1"/>
  <c r="BC194" i="1"/>
  <c r="BD194" i="1" s="1"/>
  <c r="BC195" i="1"/>
  <c r="BD195" i="1" s="1"/>
  <c r="BC196" i="1"/>
  <c r="BD196" i="1" s="1"/>
  <c r="BC197" i="1"/>
  <c r="BD197" i="1" s="1"/>
  <c r="BC198" i="1"/>
  <c r="BD198" i="1" s="1"/>
  <c r="BC199" i="1"/>
  <c r="BD199" i="1" s="1"/>
  <c r="BC200" i="1"/>
  <c r="BD200" i="1" s="1"/>
  <c r="BC201" i="1"/>
  <c r="BD201" i="1" s="1"/>
  <c r="BC202" i="1"/>
  <c r="BD202" i="1" s="1"/>
  <c r="BC203" i="1"/>
  <c r="BD203" i="1" s="1"/>
  <c r="BC204" i="1"/>
  <c r="BD204" i="1" s="1"/>
  <c r="BC205" i="1"/>
  <c r="BD205" i="1" s="1"/>
  <c r="BC206" i="1"/>
  <c r="BD206" i="1" s="1"/>
  <c r="BC207" i="1"/>
  <c r="BD207" i="1" s="1"/>
  <c r="BC208" i="1"/>
  <c r="BD208" i="1" s="1"/>
  <c r="BC209" i="1"/>
  <c r="BD209" i="1" s="1"/>
  <c r="BC210" i="1"/>
  <c r="BD210" i="1" s="1"/>
  <c r="BC211" i="1"/>
  <c r="BD211" i="1" s="1"/>
  <c r="BC212" i="1"/>
  <c r="BD212" i="1" s="1"/>
  <c r="BC213" i="1"/>
  <c r="BD213" i="1" s="1"/>
  <c r="BC214" i="1"/>
  <c r="BD214" i="1" s="1"/>
  <c r="BC215" i="1"/>
  <c r="BD215" i="1" s="1"/>
  <c r="BC216" i="1"/>
  <c r="BD216" i="1" s="1"/>
  <c r="BC217" i="1"/>
  <c r="BD217" i="1" s="1"/>
  <c r="BC218" i="1"/>
  <c r="BD218" i="1" s="1"/>
  <c r="BC219" i="1"/>
  <c r="BD219" i="1" s="1"/>
  <c r="BC220" i="1"/>
  <c r="BD220" i="1" s="1"/>
  <c r="BC221" i="1"/>
  <c r="BD221" i="1" s="1"/>
  <c r="BC222" i="1"/>
  <c r="BD222" i="1" s="1"/>
  <c r="BC223" i="1"/>
  <c r="BD223" i="1" s="1"/>
  <c r="BC224" i="1"/>
  <c r="BD224" i="1" s="1"/>
  <c r="BC225" i="1"/>
  <c r="BD225" i="1" s="1"/>
  <c r="BC226" i="1"/>
  <c r="BD226" i="1" s="1"/>
  <c r="BC227" i="1"/>
  <c r="BD227" i="1" s="1"/>
  <c r="BC228" i="1"/>
  <c r="BD228" i="1" s="1"/>
  <c r="BC229" i="1"/>
  <c r="BD229" i="1" s="1"/>
  <c r="BC230" i="1"/>
  <c r="BD230" i="1" s="1"/>
  <c r="BC231" i="1"/>
  <c r="BD231" i="1" s="1"/>
  <c r="BC232" i="1"/>
  <c r="BD232" i="1" s="1"/>
  <c r="BC233" i="1"/>
  <c r="BD233" i="1" s="1"/>
  <c r="BC234" i="1"/>
  <c r="BD234" i="1" s="1"/>
  <c r="BC235" i="1"/>
  <c r="BD235" i="1" s="1"/>
  <c r="BC236" i="1"/>
  <c r="BD236" i="1" s="1"/>
  <c r="BC237" i="1"/>
  <c r="BD237" i="1" s="1"/>
  <c r="BC238" i="1"/>
  <c r="BD238" i="1" s="1"/>
  <c r="BC239" i="1"/>
  <c r="BD239" i="1" s="1"/>
  <c r="BC240" i="1"/>
  <c r="BD240" i="1" s="1"/>
  <c r="BC241" i="1"/>
  <c r="BD241" i="1" s="1"/>
  <c r="BC242" i="1"/>
  <c r="BD242" i="1" s="1"/>
  <c r="BC243" i="1"/>
  <c r="BD243" i="1" s="1"/>
  <c r="BC244" i="1"/>
  <c r="BD244" i="1" s="1"/>
  <c r="BC245" i="1"/>
  <c r="BD245" i="1" s="1"/>
  <c r="BC246" i="1"/>
  <c r="BD246" i="1" s="1"/>
  <c r="BC247" i="1"/>
  <c r="BD247" i="1" s="1"/>
  <c r="BC248" i="1"/>
  <c r="BD248" i="1" s="1"/>
  <c r="BC249" i="1"/>
  <c r="BD249" i="1" s="1"/>
  <c r="BC250" i="1"/>
  <c r="BD250" i="1" s="1"/>
  <c r="BC251" i="1"/>
  <c r="BD251" i="1" s="1"/>
  <c r="BC252" i="1"/>
  <c r="BD252" i="1" s="1"/>
  <c r="BC253" i="1"/>
  <c r="BD253" i="1" s="1"/>
  <c r="BC254" i="1"/>
  <c r="BD254" i="1" s="1"/>
  <c r="BC255" i="1"/>
  <c r="BD255" i="1" s="1"/>
  <c r="BC256" i="1"/>
  <c r="BD256" i="1" s="1"/>
  <c r="BC257" i="1"/>
  <c r="BD257" i="1" s="1"/>
  <c r="BC258" i="1"/>
  <c r="BD258" i="1" s="1"/>
  <c r="BC259" i="1"/>
  <c r="BD259" i="1" s="1"/>
  <c r="BC260" i="1"/>
  <c r="BD260" i="1" s="1"/>
  <c r="BC261" i="1"/>
  <c r="BD261" i="1" s="1"/>
  <c r="BC262" i="1"/>
  <c r="BD262" i="1" s="1"/>
  <c r="BC263" i="1"/>
  <c r="BD263" i="1" s="1"/>
  <c r="BC264" i="1"/>
  <c r="BD264" i="1" s="1"/>
  <c r="BC265" i="1"/>
  <c r="BD265" i="1" s="1"/>
  <c r="BC266" i="1"/>
  <c r="BD266" i="1" s="1"/>
  <c r="BC267" i="1"/>
  <c r="BD267" i="1" s="1"/>
  <c r="BC268" i="1"/>
  <c r="BD268" i="1" s="1"/>
  <c r="BC269" i="1"/>
  <c r="BD269" i="1" s="1"/>
  <c r="BC270" i="1"/>
  <c r="BD270" i="1" s="1"/>
  <c r="BC271" i="1"/>
  <c r="BD271" i="1" s="1"/>
  <c r="BC272" i="1"/>
  <c r="BD272" i="1" s="1"/>
  <c r="BC273" i="1"/>
  <c r="BD273" i="1" s="1"/>
  <c r="BC274" i="1"/>
  <c r="BD274" i="1" s="1"/>
  <c r="BC275" i="1"/>
  <c r="BD275" i="1" s="1"/>
  <c r="BC276" i="1"/>
  <c r="BD276" i="1" s="1"/>
  <c r="BC277" i="1"/>
  <c r="BD277" i="1" s="1"/>
  <c r="BC278" i="1"/>
  <c r="BD278" i="1" s="1"/>
  <c r="BC279" i="1"/>
  <c r="BD279" i="1" s="1"/>
  <c r="BC280" i="1"/>
  <c r="BD280" i="1" s="1"/>
  <c r="BC281" i="1"/>
  <c r="BD281" i="1" s="1"/>
  <c r="BC282" i="1"/>
  <c r="BD282" i="1" s="1"/>
  <c r="BC283" i="1"/>
  <c r="BD283" i="1" s="1"/>
  <c r="BC284" i="1"/>
  <c r="BD284" i="1" s="1"/>
  <c r="BC285" i="1"/>
  <c r="BD285" i="1" s="1"/>
  <c r="BC286" i="1"/>
  <c r="BD286" i="1" s="1"/>
  <c r="BC287" i="1"/>
  <c r="BD287" i="1" s="1"/>
  <c r="BC288" i="1"/>
  <c r="BD288" i="1" s="1"/>
  <c r="BC289" i="1"/>
  <c r="BD289" i="1" s="1"/>
  <c r="BC290" i="1"/>
  <c r="BD290" i="1" s="1"/>
  <c r="BC291" i="1"/>
  <c r="BD291" i="1" s="1"/>
  <c r="BC292" i="1"/>
  <c r="BD292" i="1" s="1"/>
  <c r="BC293" i="1"/>
  <c r="BD293" i="1" s="1"/>
  <c r="BC294" i="1"/>
  <c r="BD294" i="1" s="1"/>
  <c r="BC295" i="1"/>
  <c r="BD295" i="1" s="1"/>
  <c r="BC296" i="1"/>
  <c r="BD296" i="1" s="1"/>
  <c r="BC297" i="1"/>
  <c r="BD297" i="1" s="1"/>
  <c r="BC298" i="1"/>
  <c r="BD298" i="1" s="1"/>
  <c r="BC299" i="1"/>
  <c r="BD299" i="1" s="1"/>
  <c r="BC300" i="1"/>
  <c r="BD300" i="1" s="1"/>
  <c r="BC301" i="1"/>
  <c r="BD301" i="1" s="1"/>
  <c r="BC302" i="1"/>
  <c r="BD302" i="1" s="1"/>
  <c r="BC303" i="1"/>
  <c r="BD303" i="1" s="1"/>
  <c r="BC304" i="1"/>
  <c r="BD304" i="1" s="1"/>
  <c r="BC305" i="1"/>
  <c r="BD305" i="1" s="1"/>
  <c r="BC306" i="1"/>
  <c r="BD306" i="1" s="1"/>
  <c r="BC307" i="1"/>
  <c r="BD307" i="1" s="1"/>
  <c r="BC308" i="1"/>
  <c r="BD308" i="1" s="1"/>
  <c r="BC309" i="1"/>
  <c r="BD309" i="1" s="1"/>
  <c r="BC310" i="1"/>
  <c r="BD310" i="1" s="1"/>
  <c r="BC311" i="1"/>
  <c r="BD311" i="1" s="1"/>
  <c r="BC312" i="1"/>
  <c r="BD312" i="1" s="1"/>
  <c r="BC313" i="1"/>
  <c r="BD313" i="1" s="1"/>
  <c r="BC314" i="1"/>
  <c r="BD314" i="1" s="1"/>
  <c r="BC315" i="1"/>
  <c r="BD315" i="1" s="1"/>
  <c r="BC316" i="1"/>
  <c r="BD316" i="1" s="1"/>
  <c r="BC317" i="1"/>
  <c r="BD317" i="1" s="1"/>
  <c r="BC318" i="1"/>
  <c r="BD318" i="1" s="1"/>
  <c r="BC319" i="1"/>
  <c r="BD319" i="1" s="1"/>
  <c r="BC320" i="1"/>
  <c r="BD320" i="1" s="1"/>
  <c r="BC321" i="1"/>
  <c r="BD321" i="1" s="1"/>
  <c r="BC2" i="1"/>
  <c r="BD2" i="1" s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66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2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66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" i="1"/>
  <c r="BA4" i="1"/>
  <c r="BA5" i="1"/>
  <c r="BA6" i="1"/>
  <c r="BA7" i="1"/>
  <c r="BA2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" i="1"/>
  <c r="AU4" i="1"/>
  <c r="AU5" i="1"/>
  <c r="AU6" i="1"/>
  <c r="AU7" i="1"/>
  <c r="AU2" i="1"/>
  <c r="AI2" i="1"/>
  <c r="AQ3" i="1"/>
  <c r="AQ4" i="1"/>
  <c r="AQ5" i="1"/>
  <c r="AQ6" i="1"/>
  <c r="AQ7" i="1"/>
  <c r="AQ8" i="1"/>
  <c r="AQ9" i="1"/>
  <c r="AQ10" i="1"/>
  <c r="AQ11" i="1"/>
  <c r="AQ12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13" i="1"/>
  <c r="AQ34" i="1"/>
  <c r="AQ35" i="1"/>
  <c r="AQ36" i="1"/>
  <c r="AQ37" i="1"/>
  <c r="AQ38" i="1"/>
  <c r="AQ39" i="1"/>
  <c r="AQ40" i="1"/>
  <c r="AQ41" i="1"/>
  <c r="AQ42" i="1"/>
  <c r="AQ43" i="1"/>
  <c r="AQ44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45" i="1"/>
  <c r="AQ66" i="1"/>
  <c r="AQ67" i="1"/>
  <c r="AQ68" i="1"/>
  <c r="AQ69" i="1"/>
  <c r="AQ70" i="1"/>
  <c r="AQ71" i="1"/>
  <c r="AQ72" i="1"/>
  <c r="AQ73" i="1"/>
  <c r="AQ74" i="1"/>
  <c r="AQ75" i="1"/>
  <c r="AQ76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77" i="1"/>
  <c r="AQ98" i="1"/>
  <c r="AQ99" i="1"/>
  <c r="AQ100" i="1"/>
  <c r="AQ101" i="1"/>
  <c r="AQ102" i="1"/>
  <c r="AQ103" i="1"/>
  <c r="AQ104" i="1"/>
  <c r="AQ105" i="1"/>
  <c r="AQ106" i="1"/>
  <c r="AQ107" i="1"/>
  <c r="AQ108" i="1"/>
  <c r="AQ110" i="1"/>
  <c r="AQ111" i="1"/>
  <c r="AQ112" i="1"/>
  <c r="AQ113" i="1"/>
  <c r="AQ122" i="1"/>
  <c r="AQ114" i="1"/>
  <c r="AQ115" i="1"/>
  <c r="AQ116" i="1"/>
  <c r="AQ117" i="1"/>
  <c r="AQ118" i="1"/>
  <c r="AQ119" i="1"/>
  <c r="AQ120" i="1"/>
  <c r="AQ121" i="1"/>
  <c r="AQ123" i="1"/>
  <c r="AQ124" i="1"/>
  <c r="AQ125" i="1"/>
  <c r="AQ126" i="1"/>
  <c r="AQ127" i="1"/>
  <c r="AQ128" i="1"/>
  <c r="AQ129" i="1"/>
  <c r="AQ109" i="1"/>
  <c r="AQ130" i="1"/>
  <c r="AQ131" i="1"/>
  <c r="AQ132" i="1"/>
  <c r="AQ133" i="1"/>
  <c r="AQ134" i="1"/>
  <c r="AQ135" i="1"/>
  <c r="AQ136" i="1"/>
  <c r="AQ137" i="1"/>
  <c r="AQ138" i="1"/>
  <c r="AQ139" i="1"/>
  <c r="AQ140" i="1"/>
  <c r="AQ142" i="1"/>
  <c r="AQ143" i="1"/>
  <c r="AQ144" i="1"/>
  <c r="AQ145" i="1"/>
  <c r="AQ154" i="1"/>
  <c r="AQ146" i="1"/>
  <c r="AQ147" i="1"/>
  <c r="AQ148" i="1"/>
  <c r="AQ149" i="1"/>
  <c r="AQ150" i="1"/>
  <c r="AQ151" i="1"/>
  <c r="AQ152" i="1"/>
  <c r="AQ153" i="1"/>
  <c r="AQ155" i="1"/>
  <c r="AQ156" i="1"/>
  <c r="AQ157" i="1"/>
  <c r="AQ158" i="1"/>
  <c r="AQ159" i="1"/>
  <c r="AQ160" i="1"/>
  <c r="AQ161" i="1"/>
  <c r="AQ141" i="1"/>
  <c r="AQ162" i="1"/>
  <c r="AQ163" i="1"/>
  <c r="AQ164" i="1"/>
  <c r="AQ165" i="1"/>
  <c r="AQ166" i="1"/>
  <c r="AQ167" i="1"/>
  <c r="AQ168" i="1"/>
  <c r="AQ169" i="1"/>
  <c r="AQ170" i="1"/>
  <c r="AQ171" i="1"/>
  <c r="AQ172" i="1"/>
  <c r="AQ174" i="1"/>
  <c r="AQ175" i="1"/>
  <c r="AQ176" i="1"/>
  <c r="AQ177" i="1"/>
  <c r="AQ186" i="1"/>
  <c r="AQ178" i="1"/>
  <c r="AQ179" i="1"/>
  <c r="AQ180" i="1"/>
  <c r="AQ181" i="1"/>
  <c r="AQ182" i="1"/>
  <c r="AQ183" i="1"/>
  <c r="AQ184" i="1"/>
  <c r="AQ185" i="1"/>
  <c r="AQ187" i="1"/>
  <c r="AQ188" i="1"/>
  <c r="AQ189" i="1"/>
  <c r="AQ190" i="1"/>
  <c r="AQ191" i="1"/>
  <c r="AQ192" i="1"/>
  <c r="AQ193" i="1"/>
  <c r="AQ173" i="1"/>
  <c r="AQ194" i="1"/>
  <c r="AQ195" i="1"/>
  <c r="AQ196" i="1"/>
  <c r="AQ197" i="1"/>
  <c r="AQ198" i="1"/>
  <c r="AQ199" i="1"/>
  <c r="AQ200" i="1"/>
  <c r="AQ201" i="1"/>
  <c r="AQ202" i="1"/>
  <c r="AQ203" i="1"/>
  <c r="AQ204" i="1"/>
  <c r="AQ206" i="1"/>
  <c r="AQ207" i="1"/>
  <c r="AQ208" i="1"/>
  <c r="AQ209" i="1"/>
  <c r="AQ217" i="1"/>
  <c r="AQ220" i="1"/>
  <c r="AQ210" i="1"/>
  <c r="AQ211" i="1"/>
  <c r="AQ212" i="1"/>
  <c r="AQ213" i="1"/>
  <c r="AQ214" i="1"/>
  <c r="AQ215" i="1"/>
  <c r="AQ216" i="1"/>
  <c r="AQ218" i="1"/>
  <c r="AQ219" i="1"/>
  <c r="AQ221" i="1"/>
  <c r="AQ222" i="1"/>
  <c r="AQ223" i="1"/>
  <c r="AQ224" i="1"/>
  <c r="AQ225" i="1"/>
  <c r="AQ205" i="1"/>
  <c r="AQ226" i="1"/>
  <c r="AQ227" i="1"/>
  <c r="AQ228" i="1"/>
  <c r="AQ229" i="1"/>
  <c r="AQ230" i="1"/>
  <c r="AQ231" i="1"/>
  <c r="AQ232" i="1"/>
  <c r="AQ233" i="1"/>
  <c r="AQ234" i="1"/>
  <c r="AQ235" i="1"/>
  <c r="AQ236" i="1"/>
  <c r="AQ238" i="1"/>
  <c r="AQ239" i="1"/>
  <c r="AQ240" i="1"/>
  <c r="AQ241" i="1"/>
  <c r="AQ248" i="1"/>
  <c r="AQ251" i="1"/>
  <c r="AQ254" i="1"/>
  <c r="AQ242" i="1"/>
  <c r="AQ243" i="1"/>
  <c r="AQ244" i="1"/>
  <c r="AQ245" i="1"/>
  <c r="AQ246" i="1"/>
  <c r="AQ247" i="1"/>
  <c r="AQ249" i="1"/>
  <c r="AQ250" i="1"/>
  <c r="AQ252" i="1"/>
  <c r="AQ253" i="1"/>
  <c r="AQ255" i="1"/>
  <c r="AQ256" i="1"/>
  <c r="AQ257" i="1"/>
  <c r="AQ237" i="1"/>
  <c r="AQ258" i="1"/>
  <c r="AQ259" i="1"/>
  <c r="AQ260" i="1"/>
  <c r="AQ261" i="1"/>
  <c r="AQ262" i="1"/>
  <c r="AQ263" i="1"/>
  <c r="AQ264" i="1"/>
  <c r="AQ265" i="1"/>
  <c r="AQ266" i="1"/>
  <c r="AQ267" i="1"/>
  <c r="AQ268" i="1"/>
  <c r="AQ270" i="1"/>
  <c r="AQ271" i="1"/>
  <c r="AQ272" i="1"/>
  <c r="AQ273" i="1"/>
  <c r="AQ280" i="1"/>
  <c r="AQ283" i="1"/>
  <c r="AQ286" i="1"/>
  <c r="AQ274" i="1"/>
  <c r="AQ275" i="1"/>
  <c r="AQ276" i="1"/>
  <c r="AQ277" i="1"/>
  <c r="AQ278" i="1"/>
  <c r="AQ279" i="1"/>
  <c r="AQ281" i="1"/>
  <c r="AQ282" i="1"/>
  <c r="AQ284" i="1"/>
  <c r="AQ285" i="1"/>
  <c r="AQ287" i="1"/>
  <c r="AQ288" i="1"/>
  <c r="AQ289" i="1"/>
  <c r="AQ269" i="1"/>
  <c r="AQ313" i="1"/>
  <c r="AQ290" i="1"/>
  <c r="AQ291" i="1"/>
  <c r="AQ317" i="1"/>
  <c r="AQ292" i="1"/>
  <c r="AQ293" i="1"/>
  <c r="AQ320" i="1"/>
  <c r="AQ294" i="1"/>
  <c r="AQ295" i="1"/>
  <c r="AQ299" i="1"/>
  <c r="AQ296" i="1"/>
  <c r="AQ297" i="1"/>
  <c r="AQ310" i="1"/>
  <c r="AQ298" i="1"/>
  <c r="AQ302" i="1"/>
  <c r="AQ300" i="1"/>
  <c r="AQ309" i="1"/>
  <c r="AQ303" i="1"/>
  <c r="AQ304" i="1"/>
  <c r="AQ307" i="1"/>
  <c r="AQ305" i="1"/>
  <c r="AQ312" i="1"/>
  <c r="AQ315" i="1"/>
  <c r="AQ318" i="1"/>
  <c r="AQ306" i="1"/>
  <c r="AQ316" i="1"/>
  <c r="AQ311" i="1"/>
  <c r="AQ308" i="1"/>
  <c r="AQ301" i="1"/>
  <c r="AQ314" i="1"/>
  <c r="AQ321" i="1"/>
  <c r="AQ319" i="1"/>
  <c r="AQ2" i="1"/>
  <c r="T3" i="1"/>
  <c r="T4" i="1"/>
  <c r="T5" i="1"/>
  <c r="T6" i="1"/>
  <c r="T7" i="1"/>
  <c r="T8" i="1"/>
  <c r="T9" i="1"/>
  <c r="T10" i="1"/>
  <c r="T11" i="1"/>
  <c r="T12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13" i="1"/>
  <c r="T34" i="1"/>
  <c r="T35" i="1"/>
  <c r="T36" i="1"/>
  <c r="T37" i="1"/>
  <c r="T38" i="1"/>
  <c r="T39" i="1"/>
  <c r="T40" i="1"/>
  <c r="T41" i="1"/>
  <c r="T42" i="1"/>
  <c r="T43" i="1"/>
  <c r="T44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45" i="1"/>
  <c r="T66" i="1"/>
  <c r="T67" i="1"/>
  <c r="T68" i="1"/>
  <c r="T69" i="1"/>
  <c r="T70" i="1"/>
  <c r="T71" i="1"/>
  <c r="T72" i="1"/>
  <c r="T73" i="1"/>
  <c r="T74" i="1"/>
  <c r="T75" i="1"/>
  <c r="T76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77" i="1"/>
  <c r="T98" i="1"/>
  <c r="T99" i="1"/>
  <c r="T100" i="1"/>
  <c r="T101" i="1"/>
  <c r="T102" i="1"/>
  <c r="T103" i="1"/>
  <c r="T104" i="1"/>
  <c r="T105" i="1"/>
  <c r="T106" i="1"/>
  <c r="T107" i="1"/>
  <c r="T108" i="1"/>
  <c r="T110" i="1"/>
  <c r="T111" i="1"/>
  <c r="T112" i="1"/>
  <c r="T113" i="1"/>
  <c r="T122" i="1"/>
  <c r="T114" i="1"/>
  <c r="T115" i="1"/>
  <c r="T116" i="1"/>
  <c r="T117" i="1"/>
  <c r="T118" i="1"/>
  <c r="T119" i="1"/>
  <c r="T120" i="1"/>
  <c r="T121" i="1"/>
  <c r="T123" i="1"/>
  <c r="T124" i="1"/>
  <c r="T125" i="1"/>
  <c r="T126" i="1"/>
  <c r="T127" i="1"/>
  <c r="T128" i="1"/>
  <c r="T129" i="1"/>
  <c r="T109" i="1"/>
  <c r="T130" i="1"/>
  <c r="T131" i="1"/>
  <c r="T132" i="1"/>
  <c r="T133" i="1"/>
  <c r="T134" i="1"/>
  <c r="T135" i="1"/>
  <c r="T136" i="1"/>
  <c r="T137" i="1"/>
  <c r="T138" i="1"/>
  <c r="T139" i="1"/>
  <c r="T140" i="1"/>
  <c r="T142" i="1"/>
  <c r="T143" i="1"/>
  <c r="T144" i="1"/>
  <c r="T145" i="1"/>
  <c r="T154" i="1"/>
  <c r="T146" i="1"/>
  <c r="T147" i="1"/>
  <c r="T148" i="1"/>
  <c r="T149" i="1"/>
  <c r="T150" i="1"/>
  <c r="T151" i="1"/>
  <c r="T152" i="1"/>
  <c r="T153" i="1"/>
  <c r="T155" i="1"/>
  <c r="T156" i="1"/>
  <c r="T157" i="1"/>
  <c r="T158" i="1"/>
  <c r="T159" i="1"/>
  <c r="T160" i="1"/>
  <c r="T161" i="1"/>
  <c r="T141" i="1"/>
  <c r="T162" i="1"/>
  <c r="T163" i="1"/>
  <c r="T164" i="1"/>
  <c r="T165" i="1"/>
  <c r="T166" i="1"/>
  <c r="T167" i="1"/>
  <c r="T168" i="1"/>
  <c r="T169" i="1"/>
  <c r="T170" i="1"/>
  <c r="T171" i="1"/>
  <c r="T172" i="1"/>
  <c r="T174" i="1"/>
  <c r="T175" i="1"/>
  <c r="T176" i="1"/>
  <c r="T177" i="1"/>
  <c r="T186" i="1"/>
  <c r="T178" i="1"/>
  <c r="T179" i="1"/>
  <c r="T180" i="1"/>
  <c r="T181" i="1"/>
  <c r="T182" i="1"/>
  <c r="T183" i="1"/>
  <c r="T184" i="1"/>
  <c r="T185" i="1"/>
  <c r="T187" i="1"/>
  <c r="T188" i="1"/>
  <c r="T189" i="1"/>
  <c r="T190" i="1"/>
  <c r="T191" i="1"/>
  <c r="T192" i="1"/>
  <c r="T193" i="1"/>
  <c r="T173" i="1"/>
  <c r="T194" i="1"/>
  <c r="T195" i="1"/>
  <c r="T196" i="1"/>
  <c r="T197" i="1"/>
  <c r="T198" i="1"/>
  <c r="T199" i="1"/>
  <c r="T200" i="1"/>
  <c r="T201" i="1"/>
  <c r="T202" i="1"/>
  <c r="T203" i="1"/>
  <c r="T204" i="1"/>
  <c r="T206" i="1"/>
  <c r="T207" i="1"/>
  <c r="T208" i="1"/>
  <c r="T209" i="1"/>
  <c r="T217" i="1"/>
  <c r="T220" i="1"/>
  <c r="T210" i="1"/>
  <c r="T211" i="1"/>
  <c r="T212" i="1"/>
  <c r="T213" i="1"/>
  <c r="T214" i="1"/>
  <c r="T215" i="1"/>
  <c r="T216" i="1"/>
  <c r="T218" i="1"/>
  <c r="T219" i="1"/>
  <c r="T221" i="1"/>
  <c r="T222" i="1"/>
  <c r="T223" i="1"/>
  <c r="T224" i="1"/>
  <c r="T225" i="1"/>
  <c r="T205" i="1"/>
  <c r="T226" i="1"/>
  <c r="T227" i="1"/>
  <c r="T228" i="1"/>
  <c r="T229" i="1"/>
  <c r="T230" i="1"/>
  <c r="T231" i="1"/>
  <c r="T232" i="1"/>
  <c r="T233" i="1"/>
  <c r="T234" i="1"/>
  <c r="T235" i="1"/>
  <c r="T236" i="1"/>
  <c r="T238" i="1"/>
  <c r="T239" i="1"/>
  <c r="T240" i="1"/>
  <c r="T241" i="1"/>
  <c r="T248" i="1"/>
  <c r="T251" i="1"/>
  <c r="T254" i="1"/>
  <c r="T242" i="1"/>
  <c r="T243" i="1"/>
  <c r="T244" i="1"/>
  <c r="T245" i="1"/>
  <c r="T246" i="1"/>
  <c r="T247" i="1"/>
  <c r="T249" i="1"/>
  <c r="T250" i="1"/>
  <c r="T252" i="1"/>
  <c r="T253" i="1"/>
  <c r="T255" i="1"/>
  <c r="T256" i="1"/>
  <c r="T257" i="1"/>
  <c r="T237" i="1"/>
  <c r="T258" i="1"/>
  <c r="T259" i="1"/>
  <c r="T260" i="1"/>
  <c r="T261" i="1"/>
  <c r="T262" i="1"/>
  <c r="T263" i="1"/>
  <c r="T264" i="1"/>
  <c r="T265" i="1"/>
  <c r="T266" i="1"/>
  <c r="T267" i="1"/>
  <c r="T268" i="1"/>
  <c r="T270" i="1"/>
  <c r="T271" i="1"/>
  <c r="T272" i="1"/>
  <c r="T273" i="1"/>
  <c r="T280" i="1"/>
  <c r="T283" i="1"/>
  <c r="T286" i="1"/>
  <c r="T274" i="1"/>
  <c r="T275" i="1"/>
  <c r="T276" i="1"/>
  <c r="T277" i="1"/>
  <c r="T278" i="1"/>
  <c r="T279" i="1"/>
  <c r="T281" i="1"/>
  <c r="T282" i="1"/>
  <c r="T284" i="1"/>
  <c r="T285" i="1"/>
  <c r="T287" i="1"/>
  <c r="T288" i="1"/>
  <c r="T289" i="1"/>
  <c r="T269" i="1"/>
  <c r="T313" i="1"/>
  <c r="T290" i="1"/>
  <c r="T291" i="1"/>
  <c r="T317" i="1"/>
  <c r="T292" i="1"/>
  <c r="T293" i="1"/>
  <c r="T320" i="1"/>
  <c r="T294" i="1"/>
  <c r="T295" i="1"/>
  <c r="T299" i="1"/>
  <c r="T296" i="1"/>
  <c r="T297" i="1"/>
  <c r="T310" i="1"/>
  <c r="T298" i="1"/>
  <c r="T302" i="1"/>
  <c r="T300" i="1"/>
  <c r="T309" i="1"/>
  <c r="T303" i="1"/>
  <c r="T304" i="1"/>
  <c r="T307" i="1"/>
  <c r="T305" i="1"/>
  <c r="T312" i="1"/>
  <c r="T315" i="1"/>
  <c r="T318" i="1"/>
  <c r="T306" i="1"/>
  <c r="T316" i="1"/>
  <c r="T311" i="1"/>
  <c r="T308" i="1"/>
  <c r="T301" i="1"/>
  <c r="T314" i="1"/>
  <c r="T321" i="1"/>
  <c r="T319" i="1"/>
  <c r="T2" i="1"/>
  <c r="AF3" i="1"/>
  <c r="AG3" i="1" s="1"/>
  <c r="AF4" i="1"/>
  <c r="AG4" i="1" s="1"/>
  <c r="AF5" i="1"/>
  <c r="AG5" i="1" s="1"/>
  <c r="AF6" i="1"/>
  <c r="AG6" i="1" s="1"/>
  <c r="AF7" i="1"/>
  <c r="AG7" i="1" s="1"/>
  <c r="AF8" i="1"/>
  <c r="AG8" i="1" s="1"/>
  <c r="AF9" i="1"/>
  <c r="AG9" i="1" s="1"/>
  <c r="AF10" i="1"/>
  <c r="AG10" i="1" s="1"/>
  <c r="AF11" i="1"/>
  <c r="AG11" i="1" s="1"/>
  <c r="AF12" i="1"/>
  <c r="AG12" i="1" s="1"/>
  <c r="AF14" i="1"/>
  <c r="AG14" i="1" s="1"/>
  <c r="AF15" i="1"/>
  <c r="AG15" i="1" s="1"/>
  <c r="AF16" i="1"/>
  <c r="AG16" i="1" s="1"/>
  <c r="AF17" i="1"/>
  <c r="AG17" i="1" s="1"/>
  <c r="AF18" i="1"/>
  <c r="AG18" i="1" s="1"/>
  <c r="AF19" i="1"/>
  <c r="AG19" i="1" s="1"/>
  <c r="AF20" i="1"/>
  <c r="AG20" i="1" s="1"/>
  <c r="AF21" i="1"/>
  <c r="AG21" i="1" s="1"/>
  <c r="AF22" i="1"/>
  <c r="AG22" i="1" s="1"/>
  <c r="AF23" i="1"/>
  <c r="AG23" i="1" s="1"/>
  <c r="AF24" i="1"/>
  <c r="AG24" i="1" s="1"/>
  <c r="AF25" i="1"/>
  <c r="AG25" i="1" s="1"/>
  <c r="AF26" i="1"/>
  <c r="AG26" i="1" s="1"/>
  <c r="AF27" i="1"/>
  <c r="AG27" i="1" s="1"/>
  <c r="AF28" i="1"/>
  <c r="AG28" i="1" s="1"/>
  <c r="AF29" i="1"/>
  <c r="AG29" i="1" s="1"/>
  <c r="AF30" i="1"/>
  <c r="AG30" i="1" s="1"/>
  <c r="AF31" i="1"/>
  <c r="AG31" i="1" s="1"/>
  <c r="AF32" i="1"/>
  <c r="AG32" i="1" s="1"/>
  <c r="AF33" i="1"/>
  <c r="AG33" i="1" s="1"/>
  <c r="AF13" i="1"/>
  <c r="AG13" i="1" s="1"/>
  <c r="AF34" i="1"/>
  <c r="AG34" i="1" s="1"/>
  <c r="AF35" i="1"/>
  <c r="AG35" i="1" s="1"/>
  <c r="AF36" i="1"/>
  <c r="AG36" i="1" s="1"/>
  <c r="AF37" i="1"/>
  <c r="AG37" i="1" s="1"/>
  <c r="AF38" i="1"/>
  <c r="AG38" i="1" s="1"/>
  <c r="AF39" i="1"/>
  <c r="AG39" i="1" s="1"/>
  <c r="AF40" i="1"/>
  <c r="AG40" i="1" s="1"/>
  <c r="AF41" i="1"/>
  <c r="AG41" i="1" s="1"/>
  <c r="AF42" i="1"/>
  <c r="AG42" i="1" s="1"/>
  <c r="AF43" i="1"/>
  <c r="AG43" i="1" s="1"/>
  <c r="AF44" i="1"/>
  <c r="AG44" i="1" s="1"/>
  <c r="AF46" i="1"/>
  <c r="AG46" i="1" s="1"/>
  <c r="AF47" i="1"/>
  <c r="AG47" i="1" s="1"/>
  <c r="AF48" i="1"/>
  <c r="AG48" i="1" s="1"/>
  <c r="AF49" i="1"/>
  <c r="AG49" i="1" s="1"/>
  <c r="AF50" i="1"/>
  <c r="AG50" i="1" s="1"/>
  <c r="AF51" i="1"/>
  <c r="AG51" i="1" s="1"/>
  <c r="AF52" i="1"/>
  <c r="AG52" i="1" s="1"/>
  <c r="AF53" i="1"/>
  <c r="AG53" i="1" s="1"/>
  <c r="AF54" i="1"/>
  <c r="AG54" i="1" s="1"/>
  <c r="AF55" i="1"/>
  <c r="AG55" i="1" s="1"/>
  <c r="AF56" i="1"/>
  <c r="AG56" i="1" s="1"/>
  <c r="AF57" i="1"/>
  <c r="AG57" i="1" s="1"/>
  <c r="AF58" i="1"/>
  <c r="AG58" i="1" s="1"/>
  <c r="AF59" i="1"/>
  <c r="AG59" i="1" s="1"/>
  <c r="AF60" i="1"/>
  <c r="AG60" i="1" s="1"/>
  <c r="AF61" i="1"/>
  <c r="AG61" i="1" s="1"/>
  <c r="AF62" i="1"/>
  <c r="AG62" i="1" s="1"/>
  <c r="AF63" i="1"/>
  <c r="AG63" i="1" s="1"/>
  <c r="AF64" i="1"/>
  <c r="AG64" i="1" s="1"/>
  <c r="AF65" i="1"/>
  <c r="AG65" i="1" s="1"/>
  <c r="AF45" i="1"/>
  <c r="AG45" i="1" s="1"/>
  <c r="AF66" i="1"/>
  <c r="AG66" i="1" s="1"/>
  <c r="AF67" i="1"/>
  <c r="AG67" i="1" s="1"/>
  <c r="AF68" i="1"/>
  <c r="AG68" i="1" s="1"/>
  <c r="AF69" i="1"/>
  <c r="AG69" i="1" s="1"/>
  <c r="AF70" i="1"/>
  <c r="AG70" i="1" s="1"/>
  <c r="AF71" i="1"/>
  <c r="AG71" i="1" s="1"/>
  <c r="AF72" i="1"/>
  <c r="AG72" i="1" s="1"/>
  <c r="AF73" i="1"/>
  <c r="AG73" i="1" s="1"/>
  <c r="AF74" i="1"/>
  <c r="AG74" i="1" s="1"/>
  <c r="AF75" i="1"/>
  <c r="AG75" i="1" s="1"/>
  <c r="AF76" i="1"/>
  <c r="AG76" i="1" s="1"/>
  <c r="AF78" i="1"/>
  <c r="AG78" i="1" s="1"/>
  <c r="AF79" i="1"/>
  <c r="AG79" i="1" s="1"/>
  <c r="AF80" i="1"/>
  <c r="AG80" i="1" s="1"/>
  <c r="AF81" i="1"/>
  <c r="AG81" i="1" s="1"/>
  <c r="AF82" i="1"/>
  <c r="AG82" i="1" s="1"/>
  <c r="AF83" i="1"/>
  <c r="AG83" i="1" s="1"/>
  <c r="AF84" i="1"/>
  <c r="AG84" i="1" s="1"/>
  <c r="AF85" i="1"/>
  <c r="AG85" i="1" s="1"/>
  <c r="AF86" i="1"/>
  <c r="AG86" i="1" s="1"/>
  <c r="AF87" i="1"/>
  <c r="AG87" i="1" s="1"/>
  <c r="AF88" i="1"/>
  <c r="AG88" i="1" s="1"/>
  <c r="AF89" i="1"/>
  <c r="AG89" i="1" s="1"/>
  <c r="AF90" i="1"/>
  <c r="AG90" i="1" s="1"/>
  <c r="AF91" i="1"/>
  <c r="AG91" i="1" s="1"/>
  <c r="AF92" i="1"/>
  <c r="AG92" i="1" s="1"/>
  <c r="AF93" i="1"/>
  <c r="AG93" i="1" s="1"/>
  <c r="AF94" i="1"/>
  <c r="AG94" i="1" s="1"/>
  <c r="AF95" i="1"/>
  <c r="AG95" i="1" s="1"/>
  <c r="AF96" i="1"/>
  <c r="AG96" i="1" s="1"/>
  <c r="AF97" i="1"/>
  <c r="AG97" i="1" s="1"/>
  <c r="AF77" i="1"/>
  <c r="AG77" i="1" s="1"/>
  <c r="AF98" i="1"/>
  <c r="AG98" i="1" s="1"/>
  <c r="AF99" i="1"/>
  <c r="AG99" i="1" s="1"/>
  <c r="AF100" i="1"/>
  <c r="AG100" i="1" s="1"/>
  <c r="AF101" i="1"/>
  <c r="AG101" i="1" s="1"/>
  <c r="AF102" i="1"/>
  <c r="AG102" i="1" s="1"/>
  <c r="AF103" i="1"/>
  <c r="AG103" i="1" s="1"/>
  <c r="AF104" i="1"/>
  <c r="AG104" i="1" s="1"/>
  <c r="AF105" i="1"/>
  <c r="AG105" i="1" s="1"/>
  <c r="AF106" i="1"/>
  <c r="AG106" i="1" s="1"/>
  <c r="AF107" i="1"/>
  <c r="AG107" i="1" s="1"/>
  <c r="AF108" i="1"/>
  <c r="AG108" i="1" s="1"/>
  <c r="AF110" i="1"/>
  <c r="AG110" i="1" s="1"/>
  <c r="AF111" i="1"/>
  <c r="AG111" i="1" s="1"/>
  <c r="AF112" i="1"/>
  <c r="AG112" i="1" s="1"/>
  <c r="AF113" i="1"/>
  <c r="AG113" i="1" s="1"/>
  <c r="AF122" i="1"/>
  <c r="AG122" i="1" s="1"/>
  <c r="AF114" i="1"/>
  <c r="AG114" i="1" s="1"/>
  <c r="AF115" i="1"/>
  <c r="AG115" i="1" s="1"/>
  <c r="AF116" i="1"/>
  <c r="AG116" i="1" s="1"/>
  <c r="AF117" i="1"/>
  <c r="AG117" i="1" s="1"/>
  <c r="AF118" i="1"/>
  <c r="AG118" i="1" s="1"/>
  <c r="AF119" i="1"/>
  <c r="AG119" i="1" s="1"/>
  <c r="AF120" i="1"/>
  <c r="AG120" i="1" s="1"/>
  <c r="AF121" i="1"/>
  <c r="AG121" i="1" s="1"/>
  <c r="AF123" i="1"/>
  <c r="AG123" i="1" s="1"/>
  <c r="AF124" i="1"/>
  <c r="AG124" i="1" s="1"/>
  <c r="AF125" i="1"/>
  <c r="AG125" i="1" s="1"/>
  <c r="AF126" i="1"/>
  <c r="AG126" i="1" s="1"/>
  <c r="AF127" i="1"/>
  <c r="AG127" i="1" s="1"/>
  <c r="AF128" i="1"/>
  <c r="AG128" i="1" s="1"/>
  <c r="AF129" i="1"/>
  <c r="AG129" i="1" s="1"/>
  <c r="AF109" i="1"/>
  <c r="AG109" i="1" s="1"/>
  <c r="AF130" i="1"/>
  <c r="AG130" i="1" s="1"/>
  <c r="AF131" i="1"/>
  <c r="AG131" i="1" s="1"/>
  <c r="AF132" i="1"/>
  <c r="AG132" i="1" s="1"/>
  <c r="AF133" i="1"/>
  <c r="AG133" i="1" s="1"/>
  <c r="AF134" i="1"/>
  <c r="AG134" i="1" s="1"/>
  <c r="AF135" i="1"/>
  <c r="AG135" i="1" s="1"/>
  <c r="AF136" i="1"/>
  <c r="AG136" i="1" s="1"/>
  <c r="AF137" i="1"/>
  <c r="AG137" i="1" s="1"/>
  <c r="AF138" i="1"/>
  <c r="AG138" i="1" s="1"/>
  <c r="AF139" i="1"/>
  <c r="AG139" i="1" s="1"/>
  <c r="AF140" i="1"/>
  <c r="AG140" i="1" s="1"/>
  <c r="AF142" i="1"/>
  <c r="AG142" i="1" s="1"/>
  <c r="AF143" i="1"/>
  <c r="AG143" i="1" s="1"/>
  <c r="AF144" i="1"/>
  <c r="AG144" i="1" s="1"/>
  <c r="AF145" i="1"/>
  <c r="AG145" i="1" s="1"/>
  <c r="AF154" i="1"/>
  <c r="AG154" i="1" s="1"/>
  <c r="AF146" i="1"/>
  <c r="AG146" i="1" s="1"/>
  <c r="AF147" i="1"/>
  <c r="AG147" i="1" s="1"/>
  <c r="AF148" i="1"/>
  <c r="AG148" i="1" s="1"/>
  <c r="AF149" i="1"/>
  <c r="AG149" i="1" s="1"/>
  <c r="AF150" i="1"/>
  <c r="AG150" i="1" s="1"/>
  <c r="AF151" i="1"/>
  <c r="AG151" i="1" s="1"/>
  <c r="AF152" i="1"/>
  <c r="AG152" i="1" s="1"/>
  <c r="AF153" i="1"/>
  <c r="AG153" i="1" s="1"/>
  <c r="AF155" i="1"/>
  <c r="AG155" i="1" s="1"/>
  <c r="AF156" i="1"/>
  <c r="AG156" i="1" s="1"/>
  <c r="AF157" i="1"/>
  <c r="AG157" i="1" s="1"/>
  <c r="AF158" i="1"/>
  <c r="AG158" i="1" s="1"/>
  <c r="AF159" i="1"/>
  <c r="AG159" i="1" s="1"/>
  <c r="AF160" i="1"/>
  <c r="AG160" i="1" s="1"/>
  <c r="AF161" i="1"/>
  <c r="AG161" i="1" s="1"/>
  <c r="AF141" i="1"/>
  <c r="AG141" i="1" s="1"/>
  <c r="AF162" i="1"/>
  <c r="AG162" i="1" s="1"/>
  <c r="AF163" i="1"/>
  <c r="AG163" i="1" s="1"/>
  <c r="AF164" i="1"/>
  <c r="AG164" i="1" s="1"/>
  <c r="AF165" i="1"/>
  <c r="AG165" i="1" s="1"/>
  <c r="AF166" i="1"/>
  <c r="AG166" i="1" s="1"/>
  <c r="AF167" i="1"/>
  <c r="AG167" i="1" s="1"/>
  <c r="AF168" i="1"/>
  <c r="AG168" i="1" s="1"/>
  <c r="AF169" i="1"/>
  <c r="AG169" i="1" s="1"/>
  <c r="AF170" i="1"/>
  <c r="AG170" i="1" s="1"/>
  <c r="AF171" i="1"/>
  <c r="AG171" i="1" s="1"/>
  <c r="AF172" i="1"/>
  <c r="AG172" i="1" s="1"/>
  <c r="AF174" i="1"/>
  <c r="AG174" i="1" s="1"/>
  <c r="AF175" i="1"/>
  <c r="AG175" i="1" s="1"/>
  <c r="AF176" i="1"/>
  <c r="AG176" i="1" s="1"/>
  <c r="AF177" i="1"/>
  <c r="AG177" i="1" s="1"/>
  <c r="AF186" i="1"/>
  <c r="AG186" i="1" s="1"/>
  <c r="AF178" i="1"/>
  <c r="AG178" i="1" s="1"/>
  <c r="AF179" i="1"/>
  <c r="AG179" i="1" s="1"/>
  <c r="AF180" i="1"/>
  <c r="AG180" i="1" s="1"/>
  <c r="AF181" i="1"/>
  <c r="AG181" i="1" s="1"/>
  <c r="AF182" i="1"/>
  <c r="AG182" i="1" s="1"/>
  <c r="AF183" i="1"/>
  <c r="AG183" i="1" s="1"/>
  <c r="AF184" i="1"/>
  <c r="AG184" i="1" s="1"/>
  <c r="AF185" i="1"/>
  <c r="AG185" i="1" s="1"/>
  <c r="AF187" i="1"/>
  <c r="AG187" i="1" s="1"/>
  <c r="AF188" i="1"/>
  <c r="AG188" i="1" s="1"/>
  <c r="AF189" i="1"/>
  <c r="AG189" i="1" s="1"/>
  <c r="AF190" i="1"/>
  <c r="AG190" i="1" s="1"/>
  <c r="AF191" i="1"/>
  <c r="AG191" i="1" s="1"/>
  <c r="AF192" i="1"/>
  <c r="AG192" i="1" s="1"/>
  <c r="AF193" i="1"/>
  <c r="AG193" i="1" s="1"/>
  <c r="AF173" i="1"/>
  <c r="AG173" i="1" s="1"/>
  <c r="AF194" i="1"/>
  <c r="AG194" i="1" s="1"/>
  <c r="AF195" i="1"/>
  <c r="AG195" i="1" s="1"/>
  <c r="AF196" i="1"/>
  <c r="AG196" i="1" s="1"/>
  <c r="AF197" i="1"/>
  <c r="AG197" i="1" s="1"/>
  <c r="AF198" i="1"/>
  <c r="AG198" i="1" s="1"/>
  <c r="AF199" i="1"/>
  <c r="AG199" i="1" s="1"/>
  <c r="AF200" i="1"/>
  <c r="AG200" i="1" s="1"/>
  <c r="AF201" i="1"/>
  <c r="AG201" i="1" s="1"/>
  <c r="AF202" i="1"/>
  <c r="AG202" i="1" s="1"/>
  <c r="AF203" i="1"/>
  <c r="AG203" i="1" s="1"/>
  <c r="AF204" i="1"/>
  <c r="AG204" i="1" s="1"/>
  <c r="AF206" i="1"/>
  <c r="AG206" i="1" s="1"/>
  <c r="AF207" i="1"/>
  <c r="AG207" i="1" s="1"/>
  <c r="AF208" i="1"/>
  <c r="AG208" i="1" s="1"/>
  <c r="AF209" i="1"/>
  <c r="AG209" i="1" s="1"/>
  <c r="AF217" i="1"/>
  <c r="AG217" i="1" s="1"/>
  <c r="AF220" i="1"/>
  <c r="AG220" i="1" s="1"/>
  <c r="AF210" i="1"/>
  <c r="AG210" i="1" s="1"/>
  <c r="AF211" i="1"/>
  <c r="AG211" i="1" s="1"/>
  <c r="AF212" i="1"/>
  <c r="AG212" i="1" s="1"/>
  <c r="AF213" i="1"/>
  <c r="AG213" i="1" s="1"/>
  <c r="AF214" i="1"/>
  <c r="AG214" i="1" s="1"/>
  <c r="AF215" i="1"/>
  <c r="AG215" i="1" s="1"/>
  <c r="AF216" i="1"/>
  <c r="AG216" i="1" s="1"/>
  <c r="AF218" i="1"/>
  <c r="AG218" i="1" s="1"/>
  <c r="AF219" i="1"/>
  <c r="AG219" i="1" s="1"/>
  <c r="AF221" i="1"/>
  <c r="AG221" i="1" s="1"/>
  <c r="AF222" i="1"/>
  <c r="AG222" i="1" s="1"/>
  <c r="AF223" i="1"/>
  <c r="AG223" i="1" s="1"/>
  <c r="AF224" i="1"/>
  <c r="AG224" i="1" s="1"/>
  <c r="AF225" i="1"/>
  <c r="AG225" i="1" s="1"/>
  <c r="AF205" i="1"/>
  <c r="AG205" i="1" s="1"/>
  <c r="AF226" i="1"/>
  <c r="AG226" i="1" s="1"/>
  <c r="AF227" i="1"/>
  <c r="AG227" i="1" s="1"/>
  <c r="AF228" i="1"/>
  <c r="AG228" i="1" s="1"/>
  <c r="AF229" i="1"/>
  <c r="AG229" i="1" s="1"/>
  <c r="AF230" i="1"/>
  <c r="AG230" i="1" s="1"/>
  <c r="AF231" i="1"/>
  <c r="AG231" i="1" s="1"/>
  <c r="AF232" i="1"/>
  <c r="AG232" i="1" s="1"/>
  <c r="AF233" i="1"/>
  <c r="AG233" i="1" s="1"/>
  <c r="AF234" i="1"/>
  <c r="AG234" i="1" s="1"/>
  <c r="AF235" i="1"/>
  <c r="AG235" i="1" s="1"/>
  <c r="AF236" i="1"/>
  <c r="AG236" i="1" s="1"/>
  <c r="AF238" i="1"/>
  <c r="AG238" i="1" s="1"/>
  <c r="AF239" i="1"/>
  <c r="AG239" i="1" s="1"/>
  <c r="AF240" i="1"/>
  <c r="AG240" i="1" s="1"/>
  <c r="AF241" i="1"/>
  <c r="AG241" i="1" s="1"/>
  <c r="AF248" i="1"/>
  <c r="AG248" i="1" s="1"/>
  <c r="AF251" i="1"/>
  <c r="AG251" i="1" s="1"/>
  <c r="AF254" i="1"/>
  <c r="AG254" i="1" s="1"/>
  <c r="AF242" i="1"/>
  <c r="AG242" i="1" s="1"/>
  <c r="AF243" i="1"/>
  <c r="AG243" i="1" s="1"/>
  <c r="AF244" i="1"/>
  <c r="AG244" i="1" s="1"/>
  <c r="AF245" i="1"/>
  <c r="AG245" i="1" s="1"/>
  <c r="AF246" i="1"/>
  <c r="AG246" i="1" s="1"/>
  <c r="AF247" i="1"/>
  <c r="AG247" i="1" s="1"/>
  <c r="AF249" i="1"/>
  <c r="AG249" i="1" s="1"/>
  <c r="AF250" i="1"/>
  <c r="AG250" i="1" s="1"/>
  <c r="AF252" i="1"/>
  <c r="AG252" i="1" s="1"/>
  <c r="AF253" i="1"/>
  <c r="AG253" i="1" s="1"/>
  <c r="AF255" i="1"/>
  <c r="AG255" i="1" s="1"/>
  <c r="AF256" i="1"/>
  <c r="AG256" i="1" s="1"/>
  <c r="AF257" i="1"/>
  <c r="AG257" i="1" s="1"/>
  <c r="AF237" i="1"/>
  <c r="AG237" i="1" s="1"/>
  <c r="AF258" i="1"/>
  <c r="AG258" i="1" s="1"/>
  <c r="AF259" i="1"/>
  <c r="AG259" i="1" s="1"/>
  <c r="AF260" i="1"/>
  <c r="AG260" i="1" s="1"/>
  <c r="AF261" i="1"/>
  <c r="AG261" i="1" s="1"/>
  <c r="AF262" i="1"/>
  <c r="AG262" i="1" s="1"/>
  <c r="AF263" i="1"/>
  <c r="AG263" i="1" s="1"/>
  <c r="AF264" i="1"/>
  <c r="AG264" i="1" s="1"/>
  <c r="AF265" i="1"/>
  <c r="AG265" i="1" s="1"/>
  <c r="AF266" i="1"/>
  <c r="AG266" i="1" s="1"/>
  <c r="AF267" i="1"/>
  <c r="AG267" i="1" s="1"/>
  <c r="AF268" i="1"/>
  <c r="AG268" i="1" s="1"/>
  <c r="AF270" i="1"/>
  <c r="AG270" i="1" s="1"/>
  <c r="AF271" i="1"/>
  <c r="AG271" i="1" s="1"/>
  <c r="AF272" i="1"/>
  <c r="AG272" i="1" s="1"/>
  <c r="AF273" i="1"/>
  <c r="AG273" i="1" s="1"/>
  <c r="AF280" i="1"/>
  <c r="AG280" i="1" s="1"/>
  <c r="AF283" i="1"/>
  <c r="AG283" i="1" s="1"/>
  <c r="AF286" i="1"/>
  <c r="AG286" i="1" s="1"/>
  <c r="AF274" i="1"/>
  <c r="AG274" i="1" s="1"/>
  <c r="AF275" i="1"/>
  <c r="AG275" i="1" s="1"/>
  <c r="AF276" i="1"/>
  <c r="AG276" i="1" s="1"/>
  <c r="AF277" i="1"/>
  <c r="AG277" i="1" s="1"/>
  <c r="AF278" i="1"/>
  <c r="AG278" i="1" s="1"/>
  <c r="AF279" i="1"/>
  <c r="AG279" i="1" s="1"/>
  <c r="AF281" i="1"/>
  <c r="AG281" i="1" s="1"/>
  <c r="AF282" i="1"/>
  <c r="AG282" i="1" s="1"/>
  <c r="AF284" i="1"/>
  <c r="AG284" i="1" s="1"/>
  <c r="AF285" i="1"/>
  <c r="AG285" i="1" s="1"/>
  <c r="AF287" i="1"/>
  <c r="AG287" i="1" s="1"/>
  <c r="AF288" i="1"/>
  <c r="AG288" i="1" s="1"/>
  <c r="AF289" i="1"/>
  <c r="AG289" i="1" s="1"/>
  <c r="AF269" i="1"/>
  <c r="AG269" i="1" s="1"/>
  <c r="AF313" i="1"/>
  <c r="AG313" i="1" s="1"/>
  <c r="AF290" i="1"/>
  <c r="AG290" i="1" s="1"/>
  <c r="AF291" i="1"/>
  <c r="AG291" i="1" s="1"/>
  <c r="AF317" i="1"/>
  <c r="AG317" i="1" s="1"/>
  <c r="AF292" i="1"/>
  <c r="AG292" i="1" s="1"/>
  <c r="AF293" i="1"/>
  <c r="AG293" i="1" s="1"/>
  <c r="AF320" i="1"/>
  <c r="AG320" i="1" s="1"/>
  <c r="AF294" i="1"/>
  <c r="AG294" i="1" s="1"/>
  <c r="AF295" i="1"/>
  <c r="AG295" i="1" s="1"/>
  <c r="AF299" i="1"/>
  <c r="AG299" i="1" s="1"/>
  <c r="AF296" i="1"/>
  <c r="AG296" i="1" s="1"/>
  <c r="AF297" i="1"/>
  <c r="AG297" i="1" s="1"/>
  <c r="AF310" i="1"/>
  <c r="AG310" i="1" s="1"/>
  <c r="AF298" i="1"/>
  <c r="AG298" i="1" s="1"/>
  <c r="AF302" i="1"/>
  <c r="AG302" i="1" s="1"/>
  <c r="AF300" i="1"/>
  <c r="AG300" i="1" s="1"/>
  <c r="AF309" i="1"/>
  <c r="AG309" i="1" s="1"/>
  <c r="AF303" i="1"/>
  <c r="AG303" i="1" s="1"/>
  <c r="AF304" i="1"/>
  <c r="AG304" i="1" s="1"/>
  <c r="AF307" i="1"/>
  <c r="AG307" i="1" s="1"/>
  <c r="AF305" i="1"/>
  <c r="AG305" i="1" s="1"/>
  <c r="AF312" i="1"/>
  <c r="AG312" i="1" s="1"/>
  <c r="AF315" i="1"/>
  <c r="AG315" i="1" s="1"/>
  <c r="AF318" i="1"/>
  <c r="AG318" i="1" s="1"/>
  <c r="AF306" i="1"/>
  <c r="AG306" i="1" s="1"/>
  <c r="AF316" i="1"/>
  <c r="AG316" i="1" s="1"/>
  <c r="AF311" i="1"/>
  <c r="AG311" i="1" s="1"/>
  <c r="AF308" i="1"/>
  <c r="AG308" i="1" s="1"/>
  <c r="AF301" i="1"/>
  <c r="AG301" i="1" s="1"/>
  <c r="AF314" i="1"/>
  <c r="AG314" i="1" s="1"/>
  <c r="AF321" i="1"/>
  <c r="AG321" i="1" s="1"/>
  <c r="AF319" i="1"/>
  <c r="AG319" i="1" s="1"/>
  <c r="AF2" i="1"/>
  <c r="AG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13" i="1"/>
  <c r="I1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45" i="1"/>
  <c r="I4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77" i="1"/>
  <c r="I7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10" i="1"/>
  <c r="I110" i="1" s="1"/>
  <c r="H111" i="1"/>
  <c r="I111" i="1" s="1"/>
  <c r="H112" i="1"/>
  <c r="I112" i="1" s="1"/>
  <c r="H113" i="1"/>
  <c r="I113" i="1" s="1"/>
  <c r="H122" i="1"/>
  <c r="I122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09" i="1"/>
  <c r="I10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2" i="1"/>
  <c r="I142" i="1" s="1"/>
  <c r="H143" i="1"/>
  <c r="I143" i="1" s="1"/>
  <c r="H144" i="1"/>
  <c r="I144" i="1" s="1"/>
  <c r="H145" i="1"/>
  <c r="I145" i="1" s="1"/>
  <c r="H154" i="1"/>
  <c r="I154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41" i="1"/>
  <c r="I14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4" i="1"/>
  <c r="I174" i="1" s="1"/>
  <c r="H175" i="1"/>
  <c r="I175" i="1" s="1"/>
  <c r="H176" i="1"/>
  <c r="I176" i="1" s="1"/>
  <c r="H177" i="1"/>
  <c r="I177" i="1" s="1"/>
  <c r="H186" i="1"/>
  <c r="I186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73" i="1"/>
  <c r="I17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6" i="1"/>
  <c r="I206" i="1" s="1"/>
  <c r="H207" i="1"/>
  <c r="I207" i="1" s="1"/>
  <c r="H208" i="1"/>
  <c r="I208" i="1" s="1"/>
  <c r="H209" i="1"/>
  <c r="I209" i="1" s="1"/>
  <c r="H217" i="1"/>
  <c r="I217" i="1" s="1"/>
  <c r="H220" i="1"/>
  <c r="I220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8" i="1"/>
  <c r="I218" i="1" s="1"/>
  <c r="H219" i="1"/>
  <c r="I219" i="1" s="1"/>
  <c r="H221" i="1"/>
  <c r="I221" i="1" s="1"/>
  <c r="H222" i="1"/>
  <c r="I222" i="1" s="1"/>
  <c r="H223" i="1"/>
  <c r="I223" i="1" s="1"/>
  <c r="H224" i="1"/>
  <c r="I224" i="1" s="1"/>
  <c r="H225" i="1"/>
  <c r="I225" i="1" s="1"/>
  <c r="H205" i="1"/>
  <c r="I20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8" i="1"/>
  <c r="I238" i="1" s="1"/>
  <c r="H239" i="1"/>
  <c r="I239" i="1" s="1"/>
  <c r="H240" i="1"/>
  <c r="I240" i="1" s="1"/>
  <c r="H241" i="1"/>
  <c r="I241" i="1" s="1"/>
  <c r="H248" i="1"/>
  <c r="I248" i="1" s="1"/>
  <c r="H251" i="1"/>
  <c r="I251" i="1" s="1"/>
  <c r="H254" i="1"/>
  <c r="I254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9" i="1"/>
  <c r="I249" i="1" s="1"/>
  <c r="H250" i="1"/>
  <c r="I250" i="1" s="1"/>
  <c r="H252" i="1"/>
  <c r="I252" i="1" s="1"/>
  <c r="H253" i="1"/>
  <c r="I253" i="1" s="1"/>
  <c r="H255" i="1"/>
  <c r="I255" i="1" s="1"/>
  <c r="H256" i="1"/>
  <c r="I256" i="1" s="1"/>
  <c r="H257" i="1"/>
  <c r="I257" i="1" s="1"/>
  <c r="H237" i="1"/>
  <c r="I23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70" i="1"/>
  <c r="I270" i="1" s="1"/>
  <c r="H271" i="1"/>
  <c r="I271" i="1" s="1"/>
  <c r="H272" i="1"/>
  <c r="I272" i="1" s="1"/>
  <c r="H273" i="1"/>
  <c r="I273" i="1" s="1"/>
  <c r="H280" i="1"/>
  <c r="I280" i="1" s="1"/>
  <c r="H283" i="1"/>
  <c r="I283" i="1" s="1"/>
  <c r="H286" i="1"/>
  <c r="I286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1" i="1"/>
  <c r="I281" i="1" s="1"/>
  <c r="H282" i="1"/>
  <c r="I282" i="1" s="1"/>
  <c r="H284" i="1"/>
  <c r="I284" i="1" s="1"/>
  <c r="H285" i="1"/>
  <c r="I285" i="1" s="1"/>
  <c r="H287" i="1"/>
  <c r="I287" i="1" s="1"/>
  <c r="H288" i="1"/>
  <c r="I288" i="1" s="1"/>
  <c r="H289" i="1"/>
  <c r="I289" i="1" s="1"/>
  <c r="H269" i="1"/>
  <c r="I269" i="1" s="1"/>
  <c r="H313" i="1"/>
  <c r="I313" i="1" s="1"/>
  <c r="H290" i="1"/>
  <c r="I290" i="1" s="1"/>
  <c r="H291" i="1"/>
  <c r="I291" i="1" s="1"/>
  <c r="H317" i="1"/>
  <c r="I317" i="1" s="1"/>
  <c r="H292" i="1"/>
  <c r="I292" i="1" s="1"/>
  <c r="H293" i="1"/>
  <c r="I293" i="1" s="1"/>
  <c r="H320" i="1"/>
  <c r="I320" i="1" s="1"/>
  <c r="H294" i="1"/>
  <c r="I294" i="1" s="1"/>
  <c r="H295" i="1"/>
  <c r="I295" i="1" s="1"/>
  <c r="H299" i="1"/>
  <c r="I299" i="1" s="1"/>
  <c r="H296" i="1"/>
  <c r="I296" i="1" s="1"/>
  <c r="H297" i="1"/>
  <c r="I297" i="1" s="1"/>
  <c r="H310" i="1"/>
  <c r="I310" i="1" s="1"/>
  <c r="H298" i="1"/>
  <c r="I298" i="1" s="1"/>
  <c r="H302" i="1"/>
  <c r="I302" i="1" s="1"/>
  <c r="H300" i="1"/>
  <c r="I300" i="1" s="1"/>
  <c r="H309" i="1"/>
  <c r="I309" i="1" s="1"/>
  <c r="H303" i="1"/>
  <c r="I303" i="1" s="1"/>
  <c r="H304" i="1"/>
  <c r="I304" i="1" s="1"/>
  <c r="H307" i="1"/>
  <c r="I307" i="1" s="1"/>
  <c r="H305" i="1"/>
  <c r="I305" i="1" s="1"/>
  <c r="H312" i="1"/>
  <c r="I312" i="1" s="1"/>
  <c r="H315" i="1"/>
  <c r="I315" i="1" s="1"/>
  <c r="H318" i="1"/>
  <c r="I318" i="1" s="1"/>
  <c r="H306" i="1"/>
  <c r="I306" i="1" s="1"/>
  <c r="H316" i="1"/>
  <c r="I316" i="1" s="1"/>
  <c r="H311" i="1"/>
  <c r="I311" i="1" s="1"/>
  <c r="H308" i="1"/>
  <c r="I308" i="1" s="1"/>
  <c r="H301" i="1"/>
  <c r="I301" i="1" s="1"/>
  <c r="H314" i="1"/>
  <c r="I314" i="1" s="1"/>
  <c r="H321" i="1"/>
  <c r="I321" i="1" s="1"/>
  <c r="H319" i="1"/>
  <c r="I319" i="1" s="1"/>
  <c r="H2" i="1"/>
  <c r="I2" i="1" s="1"/>
  <c r="AL3" i="1"/>
  <c r="AN3" i="1" s="1"/>
  <c r="AL4" i="1"/>
  <c r="AN4" i="1" s="1"/>
  <c r="AL5" i="1"/>
  <c r="AN5" i="1" s="1"/>
  <c r="AL6" i="1"/>
  <c r="AN6" i="1" s="1"/>
  <c r="AL7" i="1"/>
  <c r="AN7" i="1" s="1"/>
  <c r="AL8" i="1"/>
  <c r="AN8" i="1" s="1"/>
  <c r="AL9" i="1"/>
  <c r="AN9" i="1" s="1"/>
  <c r="AL10" i="1"/>
  <c r="AN10" i="1" s="1"/>
  <c r="AL11" i="1"/>
  <c r="AN11" i="1" s="1"/>
  <c r="AL12" i="1"/>
  <c r="AN12" i="1" s="1"/>
  <c r="AL14" i="1"/>
  <c r="AN14" i="1" s="1"/>
  <c r="AL15" i="1"/>
  <c r="AN15" i="1" s="1"/>
  <c r="AL16" i="1"/>
  <c r="AN16" i="1" s="1"/>
  <c r="AL17" i="1"/>
  <c r="AN17" i="1" s="1"/>
  <c r="AL18" i="1"/>
  <c r="AN18" i="1" s="1"/>
  <c r="AL19" i="1"/>
  <c r="AN19" i="1" s="1"/>
  <c r="AL20" i="1"/>
  <c r="AN20" i="1" s="1"/>
  <c r="AL21" i="1"/>
  <c r="AN21" i="1" s="1"/>
  <c r="AL22" i="1"/>
  <c r="AN22" i="1" s="1"/>
  <c r="AL23" i="1"/>
  <c r="AN23" i="1" s="1"/>
  <c r="AL24" i="1"/>
  <c r="AN24" i="1" s="1"/>
  <c r="AL25" i="1"/>
  <c r="AN25" i="1" s="1"/>
  <c r="AL26" i="1"/>
  <c r="AN26" i="1" s="1"/>
  <c r="AL27" i="1"/>
  <c r="AN27" i="1" s="1"/>
  <c r="AL28" i="1"/>
  <c r="AN28" i="1" s="1"/>
  <c r="AL29" i="1"/>
  <c r="AN29" i="1" s="1"/>
  <c r="AL30" i="1"/>
  <c r="AN30" i="1" s="1"/>
  <c r="AL31" i="1"/>
  <c r="AN31" i="1" s="1"/>
  <c r="AL32" i="1"/>
  <c r="AN32" i="1" s="1"/>
  <c r="AL33" i="1"/>
  <c r="AN33" i="1" s="1"/>
  <c r="AL13" i="1"/>
  <c r="AN13" i="1" s="1"/>
  <c r="AL34" i="1"/>
  <c r="AN34" i="1" s="1"/>
  <c r="AL35" i="1"/>
  <c r="AN35" i="1" s="1"/>
  <c r="AL36" i="1"/>
  <c r="AN36" i="1" s="1"/>
  <c r="AL37" i="1"/>
  <c r="AN37" i="1" s="1"/>
  <c r="AL38" i="1"/>
  <c r="AN38" i="1" s="1"/>
  <c r="AL39" i="1"/>
  <c r="AN39" i="1" s="1"/>
  <c r="AL40" i="1"/>
  <c r="AN40" i="1" s="1"/>
  <c r="AL41" i="1"/>
  <c r="AN41" i="1" s="1"/>
  <c r="AL42" i="1"/>
  <c r="AN42" i="1" s="1"/>
  <c r="AL43" i="1"/>
  <c r="AN43" i="1" s="1"/>
  <c r="AL44" i="1"/>
  <c r="AN44" i="1" s="1"/>
  <c r="AL46" i="1"/>
  <c r="AN46" i="1" s="1"/>
  <c r="AL47" i="1"/>
  <c r="AN47" i="1" s="1"/>
  <c r="AL48" i="1"/>
  <c r="AN48" i="1" s="1"/>
  <c r="AL49" i="1"/>
  <c r="AN49" i="1" s="1"/>
  <c r="AL50" i="1"/>
  <c r="AN50" i="1" s="1"/>
  <c r="AL51" i="1"/>
  <c r="AN51" i="1" s="1"/>
  <c r="AL52" i="1"/>
  <c r="AN52" i="1" s="1"/>
  <c r="AL53" i="1"/>
  <c r="AN53" i="1" s="1"/>
  <c r="AL54" i="1"/>
  <c r="AN54" i="1" s="1"/>
  <c r="AL55" i="1"/>
  <c r="AN55" i="1" s="1"/>
  <c r="AL56" i="1"/>
  <c r="AN56" i="1" s="1"/>
  <c r="AL57" i="1"/>
  <c r="AN57" i="1" s="1"/>
  <c r="AL58" i="1"/>
  <c r="AN58" i="1" s="1"/>
  <c r="AL59" i="1"/>
  <c r="AN59" i="1" s="1"/>
  <c r="AL60" i="1"/>
  <c r="AN60" i="1" s="1"/>
  <c r="AL61" i="1"/>
  <c r="AN61" i="1" s="1"/>
  <c r="AL62" i="1"/>
  <c r="AN62" i="1" s="1"/>
  <c r="AL63" i="1"/>
  <c r="AN63" i="1" s="1"/>
  <c r="AL64" i="1"/>
  <c r="AN64" i="1" s="1"/>
  <c r="AL65" i="1"/>
  <c r="AN65" i="1" s="1"/>
  <c r="AL45" i="1"/>
  <c r="AN45" i="1" s="1"/>
  <c r="AL66" i="1"/>
  <c r="AN66" i="1" s="1"/>
  <c r="AL67" i="1"/>
  <c r="AN67" i="1" s="1"/>
  <c r="AL68" i="1"/>
  <c r="AN68" i="1" s="1"/>
  <c r="AL69" i="1"/>
  <c r="AN69" i="1" s="1"/>
  <c r="AL70" i="1"/>
  <c r="AN70" i="1" s="1"/>
  <c r="AL71" i="1"/>
  <c r="AN71" i="1" s="1"/>
  <c r="AL72" i="1"/>
  <c r="AN72" i="1" s="1"/>
  <c r="AL73" i="1"/>
  <c r="AN73" i="1" s="1"/>
  <c r="AL74" i="1"/>
  <c r="AN74" i="1" s="1"/>
  <c r="AL75" i="1"/>
  <c r="AN75" i="1" s="1"/>
  <c r="AL76" i="1"/>
  <c r="AN76" i="1" s="1"/>
  <c r="AL78" i="1"/>
  <c r="AN78" i="1" s="1"/>
  <c r="AL79" i="1"/>
  <c r="AN79" i="1" s="1"/>
  <c r="AL80" i="1"/>
  <c r="AN80" i="1" s="1"/>
  <c r="AL81" i="1"/>
  <c r="AN81" i="1" s="1"/>
  <c r="AL82" i="1"/>
  <c r="AN82" i="1" s="1"/>
  <c r="AL83" i="1"/>
  <c r="AN83" i="1" s="1"/>
  <c r="AL84" i="1"/>
  <c r="AN84" i="1" s="1"/>
  <c r="AL85" i="1"/>
  <c r="AN85" i="1" s="1"/>
  <c r="AL86" i="1"/>
  <c r="AN86" i="1" s="1"/>
  <c r="AL87" i="1"/>
  <c r="AN87" i="1" s="1"/>
  <c r="AL88" i="1"/>
  <c r="AN88" i="1" s="1"/>
  <c r="AL89" i="1"/>
  <c r="AN89" i="1" s="1"/>
  <c r="AL90" i="1"/>
  <c r="AN90" i="1" s="1"/>
  <c r="AL91" i="1"/>
  <c r="AN91" i="1" s="1"/>
  <c r="AL92" i="1"/>
  <c r="AN92" i="1" s="1"/>
  <c r="AL93" i="1"/>
  <c r="AN93" i="1" s="1"/>
  <c r="AL94" i="1"/>
  <c r="AN94" i="1" s="1"/>
  <c r="AL95" i="1"/>
  <c r="AN95" i="1" s="1"/>
  <c r="AL96" i="1"/>
  <c r="AN96" i="1" s="1"/>
  <c r="AL97" i="1"/>
  <c r="AN97" i="1" s="1"/>
  <c r="AL77" i="1"/>
  <c r="AN77" i="1" s="1"/>
  <c r="AL98" i="1"/>
  <c r="AN98" i="1" s="1"/>
  <c r="AL99" i="1"/>
  <c r="AN99" i="1" s="1"/>
  <c r="AL100" i="1"/>
  <c r="AN100" i="1" s="1"/>
  <c r="AL101" i="1"/>
  <c r="AN101" i="1" s="1"/>
  <c r="AL102" i="1"/>
  <c r="AN102" i="1" s="1"/>
  <c r="AL103" i="1"/>
  <c r="AN103" i="1" s="1"/>
  <c r="AL104" i="1"/>
  <c r="AN104" i="1" s="1"/>
  <c r="AL105" i="1"/>
  <c r="AN105" i="1" s="1"/>
  <c r="AL106" i="1"/>
  <c r="AN106" i="1" s="1"/>
  <c r="AL107" i="1"/>
  <c r="AN107" i="1" s="1"/>
  <c r="AL108" i="1"/>
  <c r="AN108" i="1" s="1"/>
  <c r="AL110" i="1"/>
  <c r="AN110" i="1" s="1"/>
  <c r="AL111" i="1"/>
  <c r="AN111" i="1" s="1"/>
  <c r="AL112" i="1"/>
  <c r="AN112" i="1" s="1"/>
  <c r="AL113" i="1"/>
  <c r="AN113" i="1" s="1"/>
  <c r="AL122" i="1"/>
  <c r="AN122" i="1" s="1"/>
  <c r="AL114" i="1"/>
  <c r="AN114" i="1" s="1"/>
  <c r="AL115" i="1"/>
  <c r="AN115" i="1" s="1"/>
  <c r="AL116" i="1"/>
  <c r="AN116" i="1" s="1"/>
  <c r="AL117" i="1"/>
  <c r="AN117" i="1" s="1"/>
  <c r="AL118" i="1"/>
  <c r="AN118" i="1" s="1"/>
  <c r="AL119" i="1"/>
  <c r="AN119" i="1" s="1"/>
  <c r="AL120" i="1"/>
  <c r="AN120" i="1" s="1"/>
  <c r="AL121" i="1"/>
  <c r="AN121" i="1" s="1"/>
  <c r="AL123" i="1"/>
  <c r="AN123" i="1" s="1"/>
  <c r="AL124" i="1"/>
  <c r="AN124" i="1" s="1"/>
  <c r="AL125" i="1"/>
  <c r="AN125" i="1" s="1"/>
  <c r="AL126" i="1"/>
  <c r="AN126" i="1" s="1"/>
  <c r="AL127" i="1"/>
  <c r="AN127" i="1" s="1"/>
  <c r="AL128" i="1"/>
  <c r="AN128" i="1" s="1"/>
  <c r="AL129" i="1"/>
  <c r="AN129" i="1" s="1"/>
  <c r="AL109" i="1"/>
  <c r="AN109" i="1" s="1"/>
  <c r="AL130" i="1"/>
  <c r="AN130" i="1" s="1"/>
  <c r="AL131" i="1"/>
  <c r="AN131" i="1" s="1"/>
  <c r="AL132" i="1"/>
  <c r="AN132" i="1" s="1"/>
  <c r="AL133" i="1"/>
  <c r="AN133" i="1" s="1"/>
  <c r="AL134" i="1"/>
  <c r="AN134" i="1" s="1"/>
  <c r="AL135" i="1"/>
  <c r="AN135" i="1" s="1"/>
  <c r="AL136" i="1"/>
  <c r="AN136" i="1" s="1"/>
  <c r="AL137" i="1"/>
  <c r="AN137" i="1" s="1"/>
  <c r="AL138" i="1"/>
  <c r="AN138" i="1" s="1"/>
  <c r="AL139" i="1"/>
  <c r="AN139" i="1" s="1"/>
  <c r="AL140" i="1"/>
  <c r="AN140" i="1" s="1"/>
  <c r="AL142" i="1"/>
  <c r="AN142" i="1" s="1"/>
  <c r="AL143" i="1"/>
  <c r="AN143" i="1" s="1"/>
  <c r="AL144" i="1"/>
  <c r="AN144" i="1" s="1"/>
  <c r="AL145" i="1"/>
  <c r="AN145" i="1" s="1"/>
  <c r="AL154" i="1"/>
  <c r="AN154" i="1" s="1"/>
  <c r="AL146" i="1"/>
  <c r="AN146" i="1" s="1"/>
  <c r="AL147" i="1"/>
  <c r="AN147" i="1" s="1"/>
  <c r="AL148" i="1"/>
  <c r="AN148" i="1" s="1"/>
  <c r="AL149" i="1"/>
  <c r="AN149" i="1" s="1"/>
  <c r="AL150" i="1"/>
  <c r="AN150" i="1" s="1"/>
  <c r="AL151" i="1"/>
  <c r="AN151" i="1" s="1"/>
  <c r="AL152" i="1"/>
  <c r="AN152" i="1" s="1"/>
  <c r="AL153" i="1"/>
  <c r="AN153" i="1" s="1"/>
  <c r="AL155" i="1"/>
  <c r="AN155" i="1" s="1"/>
  <c r="AL156" i="1"/>
  <c r="AN156" i="1" s="1"/>
  <c r="AL157" i="1"/>
  <c r="AN157" i="1" s="1"/>
  <c r="AL158" i="1"/>
  <c r="AN158" i="1" s="1"/>
  <c r="AL159" i="1"/>
  <c r="AN159" i="1" s="1"/>
  <c r="AL160" i="1"/>
  <c r="AN160" i="1" s="1"/>
  <c r="AL161" i="1"/>
  <c r="AN161" i="1" s="1"/>
  <c r="AL141" i="1"/>
  <c r="AN141" i="1" s="1"/>
  <c r="AL162" i="1"/>
  <c r="AN162" i="1" s="1"/>
  <c r="AL163" i="1"/>
  <c r="AN163" i="1" s="1"/>
  <c r="AL164" i="1"/>
  <c r="AN164" i="1" s="1"/>
  <c r="AL165" i="1"/>
  <c r="AN165" i="1" s="1"/>
  <c r="AL166" i="1"/>
  <c r="AN166" i="1" s="1"/>
  <c r="AL167" i="1"/>
  <c r="AN167" i="1" s="1"/>
  <c r="AL168" i="1"/>
  <c r="AN168" i="1" s="1"/>
  <c r="AL169" i="1"/>
  <c r="AN169" i="1" s="1"/>
  <c r="AL170" i="1"/>
  <c r="AN170" i="1" s="1"/>
  <c r="AL171" i="1"/>
  <c r="AN171" i="1" s="1"/>
  <c r="AL172" i="1"/>
  <c r="AN172" i="1" s="1"/>
  <c r="AL174" i="1"/>
  <c r="AN174" i="1" s="1"/>
  <c r="AL175" i="1"/>
  <c r="AN175" i="1" s="1"/>
  <c r="AL176" i="1"/>
  <c r="AN176" i="1" s="1"/>
  <c r="AL177" i="1"/>
  <c r="AN177" i="1" s="1"/>
  <c r="AL186" i="1"/>
  <c r="AN186" i="1" s="1"/>
  <c r="AL178" i="1"/>
  <c r="AN178" i="1" s="1"/>
  <c r="AL179" i="1"/>
  <c r="AN179" i="1" s="1"/>
  <c r="AL180" i="1"/>
  <c r="AN180" i="1" s="1"/>
  <c r="AL181" i="1"/>
  <c r="AN181" i="1" s="1"/>
  <c r="AL182" i="1"/>
  <c r="AN182" i="1" s="1"/>
  <c r="AL183" i="1"/>
  <c r="AN183" i="1" s="1"/>
  <c r="AL184" i="1"/>
  <c r="AN184" i="1" s="1"/>
  <c r="AL185" i="1"/>
  <c r="AN185" i="1" s="1"/>
  <c r="AL187" i="1"/>
  <c r="AN187" i="1" s="1"/>
  <c r="AL188" i="1"/>
  <c r="AN188" i="1" s="1"/>
  <c r="AL189" i="1"/>
  <c r="AN189" i="1" s="1"/>
  <c r="AL190" i="1"/>
  <c r="AN190" i="1" s="1"/>
  <c r="AL191" i="1"/>
  <c r="AN191" i="1" s="1"/>
  <c r="AL192" i="1"/>
  <c r="AN192" i="1" s="1"/>
  <c r="AL193" i="1"/>
  <c r="AN193" i="1" s="1"/>
  <c r="AL173" i="1"/>
  <c r="AN173" i="1" s="1"/>
  <c r="AL194" i="1"/>
  <c r="AN194" i="1" s="1"/>
  <c r="AL195" i="1"/>
  <c r="AN195" i="1" s="1"/>
  <c r="AL196" i="1"/>
  <c r="AN196" i="1" s="1"/>
  <c r="AL197" i="1"/>
  <c r="AN197" i="1" s="1"/>
  <c r="AL198" i="1"/>
  <c r="AN198" i="1" s="1"/>
  <c r="AL199" i="1"/>
  <c r="AN199" i="1" s="1"/>
  <c r="AL200" i="1"/>
  <c r="AN200" i="1" s="1"/>
  <c r="AL201" i="1"/>
  <c r="AN201" i="1" s="1"/>
  <c r="AL202" i="1"/>
  <c r="AN202" i="1" s="1"/>
  <c r="AL203" i="1"/>
  <c r="AN203" i="1" s="1"/>
  <c r="AL204" i="1"/>
  <c r="AN204" i="1" s="1"/>
  <c r="AL206" i="1"/>
  <c r="AN206" i="1" s="1"/>
  <c r="AL207" i="1"/>
  <c r="AN207" i="1" s="1"/>
  <c r="AL208" i="1"/>
  <c r="AN208" i="1" s="1"/>
  <c r="AL209" i="1"/>
  <c r="AN209" i="1" s="1"/>
  <c r="AL217" i="1"/>
  <c r="AN217" i="1" s="1"/>
  <c r="AL220" i="1"/>
  <c r="AN220" i="1" s="1"/>
  <c r="AL210" i="1"/>
  <c r="AN210" i="1" s="1"/>
  <c r="AL211" i="1"/>
  <c r="AN211" i="1" s="1"/>
  <c r="AL212" i="1"/>
  <c r="AN212" i="1" s="1"/>
  <c r="AL213" i="1"/>
  <c r="AN213" i="1" s="1"/>
  <c r="AL214" i="1"/>
  <c r="AN214" i="1" s="1"/>
  <c r="AL215" i="1"/>
  <c r="AN215" i="1" s="1"/>
  <c r="AL216" i="1"/>
  <c r="AN216" i="1" s="1"/>
  <c r="AL218" i="1"/>
  <c r="AN218" i="1" s="1"/>
  <c r="AL219" i="1"/>
  <c r="AN219" i="1" s="1"/>
  <c r="AL221" i="1"/>
  <c r="AN221" i="1" s="1"/>
  <c r="AL222" i="1"/>
  <c r="AN222" i="1" s="1"/>
  <c r="AL223" i="1"/>
  <c r="AN223" i="1" s="1"/>
  <c r="AL224" i="1"/>
  <c r="AN224" i="1" s="1"/>
  <c r="AL225" i="1"/>
  <c r="AN225" i="1" s="1"/>
  <c r="AL205" i="1"/>
  <c r="AN205" i="1" s="1"/>
  <c r="AL226" i="1"/>
  <c r="AN226" i="1" s="1"/>
  <c r="AL227" i="1"/>
  <c r="AN227" i="1" s="1"/>
  <c r="AL228" i="1"/>
  <c r="AN228" i="1" s="1"/>
  <c r="AL229" i="1"/>
  <c r="AN229" i="1" s="1"/>
  <c r="AL230" i="1"/>
  <c r="AN230" i="1" s="1"/>
  <c r="AL231" i="1"/>
  <c r="AN231" i="1" s="1"/>
  <c r="AL232" i="1"/>
  <c r="AN232" i="1" s="1"/>
  <c r="AL233" i="1"/>
  <c r="AN233" i="1" s="1"/>
  <c r="AL234" i="1"/>
  <c r="AN234" i="1" s="1"/>
  <c r="AL235" i="1"/>
  <c r="AN235" i="1" s="1"/>
  <c r="AL236" i="1"/>
  <c r="AN236" i="1" s="1"/>
  <c r="AL238" i="1"/>
  <c r="AN238" i="1" s="1"/>
  <c r="AL239" i="1"/>
  <c r="AN239" i="1" s="1"/>
  <c r="AL240" i="1"/>
  <c r="AN240" i="1" s="1"/>
  <c r="AL241" i="1"/>
  <c r="AN241" i="1" s="1"/>
  <c r="AL248" i="1"/>
  <c r="AN248" i="1" s="1"/>
  <c r="AL251" i="1"/>
  <c r="AN251" i="1" s="1"/>
  <c r="AL254" i="1"/>
  <c r="AN254" i="1" s="1"/>
  <c r="AL242" i="1"/>
  <c r="AN242" i="1" s="1"/>
  <c r="AL243" i="1"/>
  <c r="AN243" i="1" s="1"/>
  <c r="AL244" i="1"/>
  <c r="AN244" i="1" s="1"/>
  <c r="AL245" i="1"/>
  <c r="AN245" i="1" s="1"/>
  <c r="AL246" i="1"/>
  <c r="AN246" i="1" s="1"/>
  <c r="AL247" i="1"/>
  <c r="AN247" i="1" s="1"/>
  <c r="AL249" i="1"/>
  <c r="AN249" i="1" s="1"/>
  <c r="AL250" i="1"/>
  <c r="AN250" i="1" s="1"/>
  <c r="AL252" i="1"/>
  <c r="AN252" i="1" s="1"/>
  <c r="AL253" i="1"/>
  <c r="AN253" i="1" s="1"/>
  <c r="AL255" i="1"/>
  <c r="AN255" i="1" s="1"/>
  <c r="AL256" i="1"/>
  <c r="AN256" i="1" s="1"/>
  <c r="AL257" i="1"/>
  <c r="AN257" i="1" s="1"/>
  <c r="AL237" i="1"/>
  <c r="AN237" i="1" s="1"/>
  <c r="AL258" i="1"/>
  <c r="AN258" i="1" s="1"/>
  <c r="AL259" i="1"/>
  <c r="AN259" i="1" s="1"/>
  <c r="AL260" i="1"/>
  <c r="AN260" i="1" s="1"/>
  <c r="AL261" i="1"/>
  <c r="AN261" i="1" s="1"/>
  <c r="AL262" i="1"/>
  <c r="AN262" i="1" s="1"/>
  <c r="AL263" i="1"/>
  <c r="AN263" i="1" s="1"/>
  <c r="AL264" i="1"/>
  <c r="AN264" i="1" s="1"/>
  <c r="AL265" i="1"/>
  <c r="AN265" i="1" s="1"/>
  <c r="AL266" i="1"/>
  <c r="AN266" i="1" s="1"/>
  <c r="AL267" i="1"/>
  <c r="AN267" i="1" s="1"/>
  <c r="AL268" i="1"/>
  <c r="AN268" i="1" s="1"/>
  <c r="AL270" i="1"/>
  <c r="AN270" i="1" s="1"/>
  <c r="AL271" i="1"/>
  <c r="AN271" i="1" s="1"/>
  <c r="AL272" i="1"/>
  <c r="AN272" i="1" s="1"/>
  <c r="AL273" i="1"/>
  <c r="AN273" i="1" s="1"/>
  <c r="AL280" i="1"/>
  <c r="AN280" i="1" s="1"/>
  <c r="AL283" i="1"/>
  <c r="AN283" i="1" s="1"/>
  <c r="AL286" i="1"/>
  <c r="AN286" i="1" s="1"/>
  <c r="AL274" i="1"/>
  <c r="AN274" i="1" s="1"/>
  <c r="AL275" i="1"/>
  <c r="AN275" i="1" s="1"/>
  <c r="AL276" i="1"/>
  <c r="AN276" i="1" s="1"/>
  <c r="AL277" i="1"/>
  <c r="AN277" i="1" s="1"/>
  <c r="AL278" i="1"/>
  <c r="AN278" i="1" s="1"/>
  <c r="AL279" i="1"/>
  <c r="AN279" i="1" s="1"/>
  <c r="AL281" i="1"/>
  <c r="AN281" i="1" s="1"/>
  <c r="AL282" i="1"/>
  <c r="AN282" i="1" s="1"/>
  <c r="AL284" i="1"/>
  <c r="AN284" i="1" s="1"/>
  <c r="AL285" i="1"/>
  <c r="AN285" i="1" s="1"/>
  <c r="AL287" i="1"/>
  <c r="AN287" i="1" s="1"/>
  <c r="AL288" i="1"/>
  <c r="AN288" i="1" s="1"/>
  <c r="AL289" i="1"/>
  <c r="AN289" i="1" s="1"/>
  <c r="AL269" i="1"/>
  <c r="AN269" i="1" s="1"/>
  <c r="AL313" i="1"/>
  <c r="AN313" i="1" s="1"/>
  <c r="AL290" i="1"/>
  <c r="AN290" i="1" s="1"/>
  <c r="AL291" i="1"/>
  <c r="AN291" i="1" s="1"/>
  <c r="AL317" i="1"/>
  <c r="AN317" i="1" s="1"/>
  <c r="AL292" i="1"/>
  <c r="AN292" i="1" s="1"/>
  <c r="AL293" i="1"/>
  <c r="AN293" i="1" s="1"/>
  <c r="AL320" i="1"/>
  <c r="AN320" i="1" s="1"/>
  <c r="AL294" i="1"/>
  <c r="AN294" i="1" s="1"/>
  <c r="AL295" i="1"/>
  <c r="AN295" i="1" s="1"/>
  <c r="AL299" i="1"/>
  <c r="AN299" i="1" s="1"/>
  <c r="AL296" i="1"/>
  <c r="AN296" i="1" s="1"/>
  <c r="AL297" i="1"/>
  <c r="AN297" i="1" s="1"/>
  <c r="AL310" i="1"/>
  <c r="AN310" i="1" s="1"/>
  <c r="AL298" i="1"/>
  <c r="AN298" i="1" s="1"/>
  <c r="AL302" i="1"/>
  <c r="AN302" i="1" s="1"/>
  <c r="AL300" i="1"/>
  <c r="AN300" i="1" s="1"/>
  <c r="AL309" i="1"/>
  <c r="AN309" i="1" s="1"/>
  <c r="AL303" i="1"/>
  <c r="AN303" i="1" s="1"/>
  <c r="AL304" i="1"/>
  <c r="AN304" i="1" s="1"/>
  <c r="AL307" i="1"/>
  <c r="AN307" i="1" s="1"/>
  <c r="AL305" i="1"/>
  <c r="AN305" i="1" s="1"/>
  <c r="AL312" i="1"/>
  <c r="AN312" i="1" s="1"/>
  <c r="AL315" i="1"/>
  <c r="AN315" i="1" s="1"/>
  <c r="AL318" i="1"/>
  <c r="AN318" i="1" s="1"/>
  <c r="AL306" i="1"/>
  <c r="AN306" i="1" s="1"/>
  <c r="AL316" i="1"/>
  <c r="AN316" i="1" s="1"/>
  <c r="AL311" i="1"/>
  <c r="AN311" i="1" s="1"/>
  <c r="AL308" i="1"/>
  <c r="AN308" i="1" s="1"/>
  <c r="AL301" i="1"/>
  <c r="AN301" i="1" s="1"/>
  <c r="AL314" i="1"/>
  <c r="AN314" i="1" s="1"/>
  <c r="AL321" i="1"/>
  <c r="AN321" i="1" s="1"/>
  <c r="AL319" i="1"/>
  <c r="AN319" i="1" s="1"/>
  <c r="AL2" i="1"/>
  <c r="AN2" i="1" s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13" i="1"/>
  <c r="Q1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5" i="1"/>
  <c r="Q65" i="1" s="1"/>
  <c r="O45" i="1"/>
  <c r="Q45" i="1" s="1"/>
  <c r="O66" i="1"/>
  <c r="Q66" i="1" s="1"/>
  <c r="O67" i="1"/>
  <c r="Q67" i="1" s="1"/>
  <c r="O68" i="1"/>
  <c r="Q68" i="1" s="1"/>
  <c r="O69" i="1"/>
  <c r="Q69" i="1" s="1"/>
  <c r="O70" i="1"/>
  <c r="Q70" i="1" s="1"/>
  <c r="O71" i="1"/>
  <c r="Q71" i="1" s="1"/>
  <c r="O72" i="1"/>
  <c r="Q72" i="1" s="1"/>
  <c r="O73" i="1"/>
  <c r="Q73" i="1" s="1"/>
  <c r="O74" i="1"/>
  <c r="Q74" i="1" s="1"/>
  <c r="O75" i="1"/>
  <c r="Q75" i="1" s="1"/>
  <c r="O76" i="1"/>
  <c r="Q76" i="1" s="1"/>
  <c r="O78" i="1"/>
  <c r="Q78" i="1" s="1"/>
  <c r="O79" i="1"/>
  <c r="Q79" i="1" s="1"/>
  <c r="O80" i="1"/>
  <c r="Q80" i="1" s="1"/>
  <c r="O81" i="1"/>
  <c r="Q81" i="1" s="1"/>
  <c r="O82" i="1"/>
  <c r="Q82" i="1" s="1"/>
  <c r="O83" i="1"/>
  <c r="Q83" i="1" s="1"/>
  <c r="O84" i="1"/>
  <c r="Q84" i="1" s="1"/>
  <c r="O85" i="1"/>
  <c r="Q85" i="1" s="1"/>
  <c r="O86" i="1"/>
  <c r="Q86" i="1" s="1"/>
  <c r="O87" i="1"/>
  <c r="Q87" i="1" s="1"/>
  <c r="O88" i="1"/>
  <c r="Q88" i="1" s="1"/>
  <c r="O89" i="1"/>
  <c r="Q89" i="1" s="1"/>
  <c r="O90" i="1"/>
  <c r="Q90" i="1" s="1"/>
  <c r="O91" i="1"/>
  <c r="Q91" i="1" s="1"/>
  <c r="O92" i="1"/>
  <c r="Q92" i="1" s="1"/>
  <c r="O93" i="1"/>
  <c r="Q93" i="1" s="1"/>
  <c r="O94" i="1"/>
  <c r="Q94" i="1" s="1"/>
  <c r="O95" i="1"/>
  <c r="Q95" i="1" s="1"/>
  <c r="O96" i="1"/>
  <c r="Q96" i="1" s="1"/>
  <c r="O97" i="1"/>
  <c r="Q97" i="1" s="1"/>
  <c r="O77" i="1"/>
  <c r="Q77" i="1" s="1"/>
  <c r="O98" i="1"/>
  <c r="Q98" i="1" s="1"/>
  <c r="O99" i="1"/>
  <c r="Q99" i="1" s="1"/>
  <c r="O100" i="1"/>
  <c r="Q100" i="1" s="1"/>
  <c r="O101" i="1"/>
  <c r="Q101" i="1" s="1"/>
  <c r="O102" i="1"/>
  <c r="Q102" i="1" s="1"/>
  <c r="O103" i="1"/>
  <c r="Q103" i="1" s="1"/>
  <c r="O104" i="1"/>
  <c r="Q104" i="1" s="1"/>
  <c r="O105" i="1"/>
  <c r="Q105" i="1" s="1"/>
  <c r="O106" i="1"/>
  <c r="Q106" i="1" s="1"/>
  <c r="O107" i="1"/>
  <c r="Q107" i="1" s="1"/>
  <c r="O108" i="1"/>
  <c r="Q108" i="1" s="1"/>
  <c r="O110" i="1"/>
  <c r="Q110" i="1" s="1"/>
  <c r="O111" i="1"/>
  <c r="Q111" i="1" s="1"/>
  <c r="O112" i="1"/>
  <c r="Q112" i="1" s="1"/>
  <c r="O113" i="1"/>
  <c r="Q113" i="1" s="1"/>
  <c r="O122" i="1"/>
  <c r="Q122" i="1" s="1"/>
  <c r="O114" i="1"/>
  <c r="Q114" i="1" s="1"/>
  <c r="O115" i="1"/>
  <c r="Q115" i="1" s="1"/>
  <c r="O116" i="1"/>
  <c r="Q116" i="1" s="1"/>
  <c r="O117" i="1"/>
  <c r="Q117" i="1" s="1"/>
  <c r="O118" i="1"/>
  <c r="Q118" i="1" s="1"/>
  <c r="O119" i="1"/>
  <c r="Q119" i="1" s="1"/>
  <c r="O120" i="1"/>
  <c r="Q120" i="1" s="1"/>
  <c r="O121" i="1"/>
  <c r="Q121" i="1" s="1"/>
  <c r="O123" i="1"/>
  <c r="Q123" i="1" s="1"/>
  <c r="O124" i="1"/>
  <c r="Q124" i="1" s="1"/>
  <c r="O125" i="1"/>
  <c r="Q125" i="1" s="1"/>
  <c r="O126" i="1"/>
  <c r="Q126" i="1" s="1"/>
  <c r="O127" i="1"/>
  <c r="Q127" i="1" s="1"/>
  <c r="O128" i="1"/>
  <c r="Q128" i="1" s="1"/>
  <c r="O129" i="1"/>
  <c r="Q129" i="1" s="1"/>
  <c r="O109" i="1"/>
  <c r="Q109" i="1" s="1"/>
  <c r="O130" i="1"/>
  <c r="Q130" i="1" s="1"/>
  <c r="O131" i="1"/>
  <c r="Q131" i="1" s="1"/>
  <c r="O132" i="1"/>
  <c r="Q132" i="1" s="1"/>
  <c r="O133" i="1"/>
  <c r="Q133" i="1" s="1"/>
  <c r="O134" i="1"/>
  <c r="Q134" i="1" s="1"/>
  <c r="O135" i="1"/>
  <c r="Q135" i="1" s="1"/>
  <c r="O136" i="1"/>
  <c r="Q136" i="1" s="1"/>
  <c r="O137" i="1"/>
  <c r="Q137" i="1" s="1"/>
  <c r="O138" i="1"/>
  <c r="Q138" i="1" s="1"/>
  <c r="O139" i="1"/>
  <c r="Q139" i="1" s="1"/>
  <c r="O140" i="1"/>
  <c r="Q140" i="1" s="1"/>
  <c r="O142" i="1"/>
  <c r="Q142" i="1" s="1"/>
  <c r="O143" i="1"/>
  <c r="Q143" i="1" s="1"/>
  <c r="O144" i="1"/>
  <c r="Q144" i="1" s="1"/>
  <c r="O145" i="1"/>
  <c r="Q145" i="1" s="1"/>
  <c r="O154" i="1"/>
  <c r="Q154" i="1" s="1"/>
  <c r="O146" i="1"/>
  <c r="Q146" i="1" s="1"/>
  <c r="O147" i="1"/>
  <c r="Q147" i="1" s="1"/>
  <c r="O148" i="1"/>
  <c r="Q148" i="1" s="1"/>
  <c r="O149" i="1"/>
  <c r="Q149" i="1" s="1"/>
  <c r="O150" i="1"/>
  <c r="Q150" i="1" s="1"/>
  <c r="O151" i="1"/>
  <c r="Q151" i="1" s="1"/>
  <c r="O152" i="1"/>
  <c r="Q152" i="1" s="1"/>
  <c r="O153" i="1"/>
  <c r="Q153" i="1" s="1"/>
  <c r="O155" i="1"/>
  <c r="Q155" i="1" s="1"/>
  <c r="O156" i="1"/>
  <c r="Q156" i="1" s="1"/>
  <c r="O157" i="1"/>
  <c r="Q157" i="1" s="1"/>
  <c r="O158" i="1"/>
  <c r="Q158" i="1" s="1"/>
  <c r="O159" i="1"/>
  <c r="Q159" i="1" s="1"/>
  <c r="O160" i="1"/>
  <c r="Q160" i="1" s="1"/>
  <c r="O161" i="1"/>
  <c r="Q161" i="1" s="1"/>
  <c r="O141" i="1"/>
  <c r="Q141" i="1" s="1"/>
  <c r="O162" i="1"/>
  <c r="Q162" i="1" s="1"/>
  <c r="O163" i="1"/>
  <c r="Q163" i="1" s="1"/>
  <c r="O164" i="1"/>
  <c r="Q164" i="1" s="1"/>
  <c r="O165" i="1"/>
  <c r="Q165" i="1" s="1"/>
  <c r="O166" i="1"/>
  <c r="Q166" i="1" s="1"/>
  <c r="O167" i="1"/>
  <c r="Q167" i="1" s="1"/>
  <c r="O168" i="1"/>
  <c r="Q168" i="1" s="1"/>
  <c r="O169" i="1"/>
  <c r="Q169" i="1" s="1"/>
  <c r="O170" i="1"/>
  <c r="Q170" i="1" s="1"/>
  <c r="O171" i="1"/>
  <c r="Q171" i="1" s="1"/>
  <c r="O172" i="1"/>
  <c r="Q172" i="1" s="1"/>
  <c r="O174" i="1"/>
  <c r="Q174" i="1" s="1"/>
  <c r="O175" i="1"/>
  <c r="Q175" i="1" s="1"/>
  <c r="O176" i="1"/>
  <c r="Q176" i="1" s="1"/>
  <c r="O177" i="1"/>
  <c r="Q177" i="1" s="1"/>
  <c r="O186" i="1"/>
  <c r="Q186" i="1" s="1"/>
  <c r="O178" i="1"/>
  <c r="Q178" i="1" s="1"/>
  <c r="O179" i="1"/>
  <c r="Q179" i="1" s="1"/>
  <c r="O180" i="1"/>
  <c r="Q180" i="1" s="1"/>
  <c r="O181" i="1"/>
  <c r="Q181" i="1" s="1"/>
  <c r="O182" i="1"/>
  <c r="Q182" i="1" s="1"/>
  <c r="O183" i="1"/>
  <c r="Q183" i="1" s="1"/>
  <c r="O184" i="1"/>
  <c r="Q184" i="1" s="1"/>
  <c r="O185" i="1"/>
  <c r="Q185" i="1" s="1"/>
  <c r="O187" i="1"/>
  <c r="Q187" i="1" s="1"/>
  <c r="O188" i="1"/>
  <c r="Q188" i="1" s="1"/>
  <c r="O189" i="1"/>
  <c r="Q189" i="1" s="1"/>
  <c r="O190" i="1"/>
  <c r="Q190" i="1" s="1"/>
  <c r="O191" i="1"/>
  <c r="Q191" i="1" s="1"/>
  <c r="O192" i="1"/>
  <c r="Q192" i="1" s="1"/>
  <c r="O193" i="1"/>
  <c r="Q193" i="1" s="1"/>
  <c r="O173" i="1"/>
  <c r="Q173" i="1" s="1"/>
  <c r="O194" i="1"/>
  <c r="Q194" i="1" s="1"/>
  <c r="O195" i="1"/>
  <c r="Q195" i="1" s="1"/>
  <c r="O196" i="1"/>
  <c r="Q196" i="1" s="1"/>
  <c r="O197" i="1"/>
  <c r="Q197" i="1" s="1"/>
  <c r="O198" i="1"/>
  <c r="Q198" i="1" s="1"/>
  <c r="O199" i="1"/>
  <c r="Q199" i="1" s="1"/>
  <c r="O200" i="1"/>
  <c r="Q200" i="1" s="1"/>
  <c r="O201" i="1"/>
  <c r="Q201" i="1" s="1"/>
  <c r="O202" i="1"/>
  <c r="Q202" i="1" s="1"/>
  <c r="O203" i="1"/>
  <c r="Q203" i="1" s="1"/>
  <c r="O204" i="1"/>
  <c r="Q204" i="1" s="1"/>
  <c r="O206" i="1"/>
  <c r="Q206" i="1" s="1"/>
  <c r="O207" i="1"/>
  <c r="Q207" i="1" s="1"/>
  <c r="O208" i="1"/>
  <c r="Q208" i="1" s="1"/>
  <c r="O209" i="1"/>
  <c r="Q209" i="1" s="1"/>
  <c r="O217" i="1"/>
  <c r="Q217" i="1" s="1"/>
  <c r="O220" i="1"/>
  <c r="Q220" i="1" s="1"/>
  <c r="O210" i="1"/>
  <c r="Q210" i="1" s="1"/>
  <c r="O211" i="1"/>
  <c r="Q211" i="1" s="1"/>
  <c r="O212" i="1"/>
  <c r="Q212" i="1" s="1"/>
  <c r="O213" i="1"/>
  <c r="Q213" i="1" s="1"/>
  <c r="O214" i="1"/>
  <c r="Q214" i="1" s="1"/>
  <c r="O215" i="1"/>
  <c r="Q215" i="1" s="1"/>
  <c r="O216" i="1"/>
  <c r="Q216" i="1" s="1"/>
  <c r="O218" i="1"/>
  <c r="Q218" i="1" s="1"/>
  <c r="O219" i="1"/>
  <c r="Q219" i="1" s="1"/>
  <c r="O221" i="1"/>
  <c r="Q221" i="1" s="1"/>
  <c r="O222" i="1"/>
  <c r="Q222" i="1" s="1"/>
  <c r="O223" i="1"/>
  <c r="Q223" i="1" s="1"/>
  <c r="O224" i="1"/>
  <c r="Q224" i="1" s="1"/>
  <c r="O225" i="1"/>
  <c r="Q225" i="1" s="1"/>
  <c r="O205" i="1"/>
  <c r="Q205" i="1" s="1"/>
  <c r="O226" i="1"/>
  <c r="Q226" i="1" s="1"/>
  <c r="O227" i="1"/>
  <c r="Q227" i="1" s="1"/>
  <c r="O228" i="1"/>
  <c r="Q228" i="1" s="1"/>
  <c r="O229" i="1"/>
  <c r="Q229" i="1" s="1"/>
  <c r="O230" i="1"/>
  <c r="Q230" i="1" s="1"/>
  <c r="O231" i="1"/>
  <c r="Q231" i="1" s="1"/>
  <c r="O232" i="1"/>
  <c r="Q232" i="1" s="1"/>
  <c r="O233" i="1"/>
  <c r="Q233" i="1" s="1"/>
  <c r="O234" i="1"/>
  <c r="Q234" i="1" s="1"/>
  <c r="O235" i="1"/>
  <c r="Q235" i="1" s="1"/>
  <c r="O236" i="1"/>
  <c r="Q236" i="1" s="1"/>
  <c r="O238" i="1"/>
  <c r="Q238" i="1" s="1"/>
  <c r="O239" i="1"/>
  <c r="Q239" i="1" s="1"/>
  <c r="O240" i="1"/>
  <c r="Q240" i="1" s="1"/>
  <c r="O241" i="1"/>
  <c r="Q241" i="1" s="1"/>
  <c r="O248" i="1"/>
  <c r="Q248" i="1" s="1"/>
  <c r="O251" i="1"/>
  <c r="Q251" i="1" s="1"/>
  <c r="O254" i="1"/>
  <c r="Q254" i="1" s="1"/>
  <c r="O242" i="1"/>
  <c r="Q242" i="1" s="1"/>
  <c r="O243" i="1"/>
  <c r="Q243" i="1" s="1"/>
  <c r="O244" i="1"/>
  <c r="Q244" i="1" s="1"/>
  <c r="O245" i="1"/>
  <c r="Q245" i="1" s="1"/>
  <c r="O246" i="1"/>
  <c r="Q246" i="1" s="1"/>
  <c r="O247" i="1"/>
  <c r="Q247" i="1" s="1"/>
  <c r="O249" i="1"/>
  <c r="Q249" i="1" s="1"/>
  <c r="O250" i="1"/>
  <c r="Q250" i="1" s="1"/>
  <c r="O252" i="1"/>
  <c r="Q252" i="1" s="1"/>
  <c r="O253" i="1"/>
  <c r="Q253" i="1" s="1"/>
  <c r="O255" i="1"/>
  <c r="Q255" i="1" s="1"/>
  <c r="O256" i="1"/>
  <c r="Q256" i="1" s="1"/>
  <c r="O257" i="1"/>
  <c r="Q257" i="1" s="1"/>
  <c r="O237" i="1"/>
  <c r="Q237" i="1" s="1"/>
  <c r="O258" i="1"/>
  <c r="Q258" i="1" s="1"/>
  <c r="O259" i="1"/>
  <c r="Q259" i="1" s="1"/>
  <c r="O260" i="1"/>
  <c r="Q260" i="1" s="1"/>
  <c r="O261" i="1"/>
  <c r="Q261" i="1" s="1"/>
  <c r="O262" i="1"/>
  <c r="Q262" i="1" s="1"/>
  <c r="O263" i="1"/>
  <c r="Q263" i="1" s="1"/>
  <c r="O264" i="1"/>
  <c r="Q264" i="1" s="1"/>
  <c r="O265" i="1"/>
  <c r="Q265" i="1" s="1"/>
  <c r="O266" i="1"/>
  <c r="Q266" i="1" s="1"/>
  <c r="O267" i="1"/>
  <c r="Q267" i="1" s="1"/>
  <c r="O268" i="1"/>
  <c r="Q268" i="1" s="1"/>
  <c r="O270" i="1"/>
  <c r="Q270" i="1" s="1"/>
  <c r="O271" i="1"/>
  <c r="Q271" i="1" s="1"/>
  <c r="O272" i="1"/>
  <c r="Q272" i="1" s="1"/>
  <c r="O273" i="1"/>
  <c r="Q273" i="1" s="1"/>
  <c r="O280" i="1"/>
  <c r="Q280" i="1" s="1"/>
  <c r="O283" i="1"/>
  <c r="Q283" i="1" s="1"/>
  <c r="O286" i="1"/>
  <c r="Q286" i="1" s="1"/>
  <c r="O274" i="1"/>
  <c r="Q274" i="1" s="1"/>
  <c r="O275" i="1"/>
  <c r="Q275" i="1" s="1"/>
  <c r="O276" i="1"/>
  <c r="Q276" i="1" s="1"/>
  <c r="O277" i="1"/>
  <c r="Q277" i="1" s="1"/>
  <c r="O278" i="1"/>
  <c r="Q278" i="1" s="1"/>
  <c r="O279" i="1"/>
  <c r="Q279" i="1" s="1"/>
  <c r="O281" i="1"/>
  <c r="Q281" i="1" s="1"/>
  <c r="O282" i="1"/>
  <c r="Q282" i="1" s="1"/>
  <c r="O284" i="1"/>
  <c r="Q284" i="1" s="1"/>
  <c r="O285" i="1"/>
  <c r="Q285" i="1" s="1"/>
  <c r="O287" i="1"/>
  <c r="Q287" i="1" s="1"/>
  <c r="O288" i="1"/>
  <c r="Q288" i="1" s="1"/>
  <c r="O289" i="1"/>
  <c r="Q289" i="1" s="1"/>
  <c r="O269" i="1"/>
  <c r="Q269" i="1" s="1"/>
  <c r="O313" i="1"/>
  <c r="Q313" i="1" s="1"/>
  <c r="O290" i="1"/>
  <c r="Q290" i="1" s="1"/>
  <c r="O291" i="1"/>
  <c r="Q291" i="1" s="1"/>
  <c r="O317" i="1"/>
  <c r="Q317" i="1" s="1"/>
  <c r="O292" i="1"/>
  <c r="Q292" i="1" s="1"/>
  <c r="O293" i="1"/>
  <c r="Q293" i="1" s="1"/>
  <c r="O320" i="1"/>
  <c r="Q320" i="1" s="1"/>
  <c r="O294" i="1"/>
  <c r="Q294" i="1" s="1"/>
  <c r="O295" i="1"/>
  <c r="Q295" i="1" s="1"/>
  <c r="O299" i="1"/>
  <c r="Q299" i="1" s="1"/>
  <c r="O296" i="1"/>
  <c r="Q296" i="1" s="1"/>
  <c r="O297" i="1"/>
  <c r="Q297" i="1" s="1"/>
  <c r="O310" i="1"/>
  <c r="Q310" i="1" s="1"/>
  <c r="O298" i="1"/>
  <c r="Q298" i="1" s="1"/>
  <c r="O302" i="1"/>
  <c r="Q302" i="1" s="1"/>
  <c r="O300" i="1"/>
  <c r="Q300" i="1" s="1"/>
  <c r="O309" i="1"/>
  <c r="Q309" i="1" s="1"/>
  <c r="O303" i="1"/>
  <c r="Q303" i="1" s="1"/>
  <c r="O304" i="1"/>
  <c r="Q304" i="1" s="1"/>
  <c r="O307" i="1"/>
  <c r="Q307" i="1" s="1"/>
  <c r="O305" i="1"/>
  <c r="Q305" i="1" s="1"/>
  <c r="O312" i="1"/>
  <c r="Q312" i="1" s="1"/>
  <c r="O315" i="1"/>
  <c r="Q315" i="1" s="1"/>
  <c r="O318" i="1"/>
  <c r="Q318" i="1" s="1"/>
  <c r="O306" i="1"/>
  <c r="Q306" i="1" s="1"/>
  <c r="O316" i="1"/>
  <c r="Q316" i="1" s="1"/>
  <c r="O311" i="1"/>
  <c r="Q311" i="1" s="1"/>
  <c r="O308" i="1"/>
  <c r="Q308" i="1" s="1"/>
  <c r="O301" i="1"/>
  <c r="Q301" i="1" s="1"/>
  <c r="O314" i="1"/>
  <c r="Q314" i="1" s="1"/>
  <c r="O321" i="1"/>
  <c r="Q321" i="1" s="1"/>
  <c r="O319" i="1"/>
  <c r="Q319" i="1" s="1"/>
  <c r="O2" i="1"/>
  <c r="Q2" i="1" s="1"/>
  <c r="AI3" i="1"/>
  <c r="AI4" i="1"/>
  <c r="AI5" i="1"/>
  <c r="AI6" i="1"/>
  <c r="AI7" i="1"/>
  <c r="AI8" i="1"/>
  <c r="AI9" i="1"/>
  <c r="AI10" i="1"/>
  <c r="AI11" i="1"/>
  <c r="AI12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13" i="1"/>
  <c r="AI34" i="1"/>
  <c r="AI35" i="1"/>
  <c r="AI36" i="1"/>
  <c r="AI37" i="1"/>
  <c r="AI38" i="1"/>
  <c r="AI39" i="1"/>
  <c r="AI40" i="1"/>
  <c r="AI41" i="1"/>
  <c r="AI42" i="1"/>
  <c r="AI43" i="1"/>
  <c r="AI44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45" i="1"/>
  <c r="AI66" i="1"/>
  <c r="AI67" i="1"/>
  <c r="AI68" i="1"/>
  <c r="AI69" i="1"/>
  <c r="AI70" i="1"/>
  <c r="AI71" i="1"/>
  <c r="AI72" i="1"/>
  <c r="AI73" i="1"/>
  <c r="AI74" i="1"/>
  <c r="AI75" i="1"/>
  <c r="AI76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77" i="1"/>
  <c r="AI98" i="1"/>
  <c r="AI99" i="1"/>
  <c r="AI100" i="1"/>
  <c r="AI101" i="1"/>
  <c r="AI102" i="1"/>
  <c r="AI103" i="1"/>
  <c r="AI104" i="1"/>
  <c r="AI105" i="1"/>
  <c r="AI106" i="1"/>
  <c r="AI107" i="1"/>
  <c r="AI108" i="1"/>
  <c r="AI110" i="1"/>
  <c r="AI111" i="1"/>
  <c r="AI112" i="1"/>
  <c r="AI113" i="1"/>
  <c r="AI122" i="1"/>
  <c r="AI114" i="1"/>
  <c r="AI115" i="1"/>
  <c r="AI116" i="1"/>
  <c r="AI117" i="1"/>
  <c r="AI118" i="1"/>
  <c r="AI119" i="1"/>
  <c r="AI120" i="1"/>
  <c r="AI121" i="1"/>
  <c r="AI123" i="1"/>
  <c r="AI124" i="1"/>
  <c r="AI125" i="1"/>
  <c r="AI126" i="1"/>
  <c r="AI127" i="1"/>
  <c r="AI128" i="1"/>
  <c r="AI129" i="1"/>
  <c r="AI109" i="1"/>
  <c r="AI130" i="1"/>
  <c r="AI131" i="1"/>
  <c r="AI132" i="1"/>
  <c r="AI133" i="1"/>
  <c r="AI134" i="1"/>
  <c r="AI135" i="1"/>
  <c r="AI136" i="1"/>
  <c r="AI137" i="1"/>
  <c r="AI138" i="1"/>
  <c r="AI139" i="1"/>
  <c r="AI140" i="1"/>
  <c r="AI142" i="1"/>
  <c r="AI143" i="1"/>
  <c r="AI144" i="1"/>
  <c r="AI145" i="1"/>
  <c r="AI154" i="1"/>
  <c r="AI146" i="1"/>
  <c r="AI147" i="1"/>
  <c r="AI148" i="1"/>
  <c r="AI149" i="1"/>
  <c r="AI150" i="1"/>
  <c r="AI151" i="1"/>
  <c r="AI152" i="1"/>
  <c r="AI153" i="1"/>
  <c r="AI155" i="1"/>
  <c r="AI156" i="1"/>
  <c r="AI157" i="1"/>
  <c r="AI158" i="1"/>
  <c r="AI159" i="1"/>
  <c r="AI160" i="1"/>
  <c r="AI161" i="1"/>
  <c r="AI141" i="1"/>
  <c r="AI162" i="1"/>
  <c r="AI163" i="1"/>
  <c r="AI164" i="1"/>
  <c r="AI165" i="1"/>
  <c r="AI166" i="1"/>
  <c r="AI167" i="1"/>
  <c r="AI168" i="1"/>
  <c r="AI169" i="1"/>
  <c r="AI170" i="1"/>
  <c r="AI171" i="1"/>
  <c r="AI172" i="1"/>
  <c r="AI174" i="1"/>
  <c r="AI175" i="1"/>
  <c r="AI176" i="1"/>
  <c r="AI177" i="1"/>
  <c r="AI186" i="1"/>
  <c r="AI178" i="1"/>
  <c r="AI179" i="1"/>
  <c r="AI180" i="1"/>
  <c r="AI181" i="1"/>
  <c r="AI182" i="1"/>
  <c r="AI183" i="1"/>
  <c r="AI184" i="1"/>
  <c r="AI185" i="1"/>
  <c r="AI187" i="1"/>
  <c r="AI188" i="1"/>
  <c r="AI189" i="1"/>
  <c r="AI190" i="1"/>
  <c r="AI191" i="1"/>
  <c r="AI192" i="1"/>
  <c r="AI193" i="1"/>
  <c r="AI173" i="1"/>
  <c r="AI194" i="1"/>
  <c r="AI195" i="1"/>
  <c r="AI196" i="1"/>
  <c r="AI197" i="1"/>
  <c r="AI198" i="1"/>
  <c r="AI199" i="1"/>
  <c r="AI200" i="1"/>
  <c r="AI201" i="1"/>
  <c r="AI202" i="1"/>
  <c r="AI203" i="1"/>
  <c r="AI204" i="1"/>
  <c r="AI206" i="1"/>
  <c r="AI207" i="1"/>
  <c r="AI208" i="1"/>
  <c r="AI209" i="1"/>
  <c r="AI217" i="1"/>
  <c r="AI220" i="1"/>
  <c r="AI210" i="1"/>
  <c r="AI211" i="1"/>
  <c r="AI212" i="1"/>
  <c r="AI213" i="1"/>
  <c r="AI214" i="1"/>
  <c r="AI215" i="1"/>
  <c r="AI216" i="1"/>
  <c r="AI218" i="1"/>
  <c r="AI219" i="1"/>
  <c r="AI221" i="1"/>
  <c r="AI222" i="1"/>
  <c r="AI223" i="1"/>
  <c r="AI224" i="1"/>
  <c r="AI225" i="1"/>
  <c r="AI205" i="1"/>
  <c r="AI226" i="1"/>
  <c r="AI227" i="1"/>
  <c r="AI228" i="1"/>
  <c r="AI229" i="1"/>
  <c r="AI230" i="1"/>
  <c r="AI231" i="1"/>
  <c r="AI232" i="1"/>
  <c r="AI233" i="1"/>
  <c r="AI234" i="1"/>
  <c r="AI235" i="1"/>
  <c r="AI236" i="1"/>
  <c r="AI238" i="1"/>
  <c r="AI239" i="1"/>
  <c r="AI240" i="1"/>
  <c r="AI241" i="1"/>
  <c r="AI248" i="1"/>
  <c r="AI251" i="1"/>
  <c r="AI254" i="1"/>
  <c r="AI242" i="1"/>
  <c r="AI243" i="1"/>
  <c r="AI244" i="1"/>
  <c r="AI245" i="1"/>
  <c r="AI246" i="1"/>
  <c r="AI247" i="1"/>
  <c r="AI249" i="1"/>
  <c r="AI250" i="1"/>
  <c r="AI252" i="1"/>
  <c r="AI253" i="1"/>
  <c r="AI255" i="1"/>
  <c r="AI256" i="1"/>
  <c r="AI257" i="1"/>
  <c r="AI237" i="1"/>
  <c r="AI258" i="1"/>
  <c r="AI259" i="1"/>
  <c r="AI260" i="1"/>
  <c r="AI261" i="1"/>
  <c r="AI262" i="1"/>
  <c r="AI263" i="1"/>
  <c r="AI264" i="1"/>
  <c r="AI265" i="1"/>
  <c r="AI266" i="1"/>
  <c r="AI267" i="1"/>
  <c r="AI268" i="1"/>
  <c r="AI270" i="1"/>
  <c r="AI271" i="1"/>
  <c r="AI272" i="1"/>
  <c r="AI273" i="1"/>
  <c r="AI280" i="1"/>
  <c r="AI283" i="1"/>
  <c r="AI286" i="1"/>
  <c r="AI274" i="1"/>
  <c r="AI275" i="1"/>
  <c r="AI276" i="1"/>
  <c r="AI277" i="1"/>
  <c r="AI278" i="1"/>
  <c r="AI279" i="1"/>
  <c r="AI281" i="1"/>
  <c r="AI282" i="1"/>
  <c r="AI284" i="1"/>
  <c r="AI285" i="1"/>
  <c r="AI287" i="1"/>
  <c r="AI288" i="1"/>
  <c r="AI289" i="1"/>
  <c r="AI269" i="1"/>
  <c r="AI313" i="1"/>
  <c r="AI290" i="1"/>
  <c r="AI291" i="1"/>
  <c r="AI317" i="1"/>
  <c r="AI292" i="1"/>
  <c r="AI293" i="1"/>
  <c r="AI320" i="1"/>
  <c r="AI294" i="1"/>
  <c r="AI295" i="1"/>
  <c r="AI299" i="1"/>
  <c r="AI296" i="1"/>
  <c r="AI297" i="1"/>
  <c r="AI310" i="1"/>
  <c r="AI298" i="1"/>
  <c r="AI302" i="1"/>
  <c r="AI300" i="1"/>
  <c r="AI309" i="1"/>
  <c r="AI303" i="1"/>
  <c r="AI304" i="1"/>
  <c r="AI307" i="1"/>
  <c r="AI305" i="1"/>
  <c r="AI312" i="1"/>
  <c r="AI315" i="1"/>
  <c r="AI318" i="1"/>
  <c r="AI306" i="1"/>
  <c r="AI316" i="1"/>
  <c r="AI311" i="1"/>
  <c r="AI308" i="1"/>
  <c r="AI301" i="1"/>
  <c r="AI314" i="1"/>
  <c r="AI321" i="1"/>
  <c r="AI319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13" i="1"/>
  <c r="K34" i="1"/>
  <c r="K35" i="1"/>
  <c r="K36" i="1"/>
  <c r="K37" i="1"/>
  <c r="K38" i="1"/>
  <c r="K39" i="1"/>
  <c r="K40" i="1"/>
  <c r="K41" i="1"/>
  <c r="K42" i="1"/>
  <c r="K43" i="1"/>
  <c r="K44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45" i="1"/>
  <c r="K66" i="1"/>
  <c r="K67" i="1"/>
  <c r="K68" i="1"/>
  <c r="K69" i="1"/>
  <c r="K70" i="1"/>
  <c r="K71" i="1"/>
  <c r="K72" i="1"/>
  <c r="K73" i="1"/>
  <c r="K74" i="1"/>
  <c r="K75" i="1"/>
  <c r="K76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77" i="1"/>
  <c r="K98" i="1"/>
  <c r="K99" i="1"/>
  <c r="K100" i="1"/>
  <c r="K101" i="1"/>
  <c r="K102" i="1"/>
  <c r="K103" i="1"/>
  <c r="K104" i="1"/>
  <c r="K105" i="1"/>
  <c r="K106" i="1"/>
  <c r="K107" i="1"/>
  <c r="K108" i="1"/>
  <c r="K110" i="1"/>
  <c r="K111" i="1"/>
  <c r="K112" i="1"/>
  <c r="K113" i="1"/>
  <c r="K122" i="1"/>
  <c r="K114" i="1"/>
  <c r="K115" i="1"/>
  <c r="K116" i="1"/>
  <c r="K117" i="1"/>
  <c r="K118" i="1"/>
  <c r="K119" i="1"/>
  <c r="K120" i="1"/>
  <c r="K121" i="1"/>
  <c r="K123" i="1"/>
  <c r="K124" i="1"/>
  <c r="K125" i="1"/>
  <c r="K126" i="1"/>
  <c r="K127" i="1"/>
  <c r="K128" i="1"/>
  <c r="K129" i="1"/>
  <c r="K109" i="1"/>
  <c r="K130" i="1"/>
  <c r="K131" i="1"/>
  <c r="K132" i="1"/>
  <c r="K133" i="1"/>
  <c r="K134" i="1"/>
  <c r="K135" i="1"/>
  <c r="K136" i="1"/>
  <c r="K137" i="1"/>
  <c r="K138" i="1"/>
  <c r="K139" i="1"/>
  <c r="K140" i="1"/>
  <c r="K142" i="1"/>
  <c r="K143" i="1"/>
  <c r="K144" i="1"/>
  <c r="K145" i="1"/>
  <c r="K154" i="1"/>
  <c r="K146" i="1"/>
  <c r="K147" i="1"/>
  <c r="K148" i="1"/>
  <c r="K149" i="1"/>
  <c r="K150" i="1"/>
  <c r="K151" i="1"/>
  <c r="K152" i="1"/>
  <c r="K153" i="1"/>
  <c r="K155" i="1"/>
  <c r="K156" i="1"/>
  <c r="K157" i="1"/>
  <c r="K158" i="1"/>
  <c r="K159" i="1"/>
  <c r="K160" i="1"/>
  <c r="K161" i="1"/>
  <c r="K141" i="1"/>
  <c r="K162" i="1"/>
  <c r="K163" i="1"/>
  <c r="K164" i="1"/>
  <c r="K165" i="1"/>
  <c r="K166" i="1"/>
  <c r="K167" i="1"/>
  <c r="K168" i="1"/>
  <c r="K169" i="1"/>
  <c r="K170" i="1"/>
  <c r="K171" i="1"/>
  <c r="K172" i="1"/>
  <c r="K174" i="1"/>
  <c r="K175" i="1"/>
  <c r="K176" i="1"/>
  <c r="K177" i="1"/>
  <c r="K186" i="1"/>
  <c r="K178" i="1"/>
  <c r="K179" i="1"/>
  <c r="K180" i="1"/>
  <c r="K181" i="1"/>
  <c r="K182" i="1"/>
  <c r="K183" i="1"/>
  <c r="K184" i="1"/>
  <c r="K185" i="1"/>
  <c r="K187" i="1"/>
  <c r="K188" i="1"/>
  <c r="K189" i="1"/>
  <c r="K190" i="1"/>
  <c r="K191" i="1"/>
  <c r="K192" i="1"/>
  <c r="K193" i="1"/>
  <c r="K173" i="1"/>
  <c r="K194" i="1"/>
  <c r="K195" i="1"/>
  <c r="K196" i="1"/>
  <c r="K197" i="1"/>
  <c r="K198" i="1"/>
  <c r="K199" i="1"/>
  <c r="K200" i="1"/>
  <c r="K201" i="1"/>
  <c r="K202" i="1"/>
  <c r="K203" i="1"/>
  <c r="K204" i="1"/>
  <c r="K206" i="1"/>
  <c r="K207" i="1"/>
  <c r="K208" i="1"/>
  <c r="K209" i="1"/>
  <c r="K217" i="1"/>
  <c r="K220" i="1"/>
  <c r="K210" i="1"/>
  <c r="K211" i="1"/>
  <c r="K212" i="1"/>
  <c r="K213" i="1"/>
  <c r="K214" i="1"/>
  <c r="K215" i="1"/>
  <c r="K216" i="1"/>
  <c r="K218" i="1"/>
  <c r="K219" i="1"/>
  <c r="K221" i="1"/>
  <c r="K222" i="1"/>
  <c r="K223" i="1"/>
  <c r="K224" i="1"/>
  <c r="K225" i="1"/>
  <c r="K205" i="1"/>
  <c r="K226" i="1"/>
  <c r="K227" i="1"/>
  <c r="K228" i="1"/>
  <c r="K229" i="1"/>
  <c r="K230" i="1"/>
  <c r="K231" i="1"/>
  <c r="K232" i="1"/>
  <c r="K233" i="1"/>
  <c r="K234" i="1"/>
  <c r="K235" i="1"/>
  <c r="K236" i="1"/>
  <c r="K238" i="1"/>
  <c r="K239" i="1"/>
  <c r="K240" i="1"/>
  <c r="K241" i="1"/>
  <c r="K248" i="1"/>
  <c r="K251" i="1"/>
  <c r="K254" i="1"/>
  <c r="K242" i="1"/>
  <c r="K243" i="1"/>
  <c r="K244" i="1"/>
  <c r="K245" i="1"/>
  <c r="K246" i="1"/>
  <c r="K247" i="1"/>
  <c r="K249" i="1"/>
  <c r="K250" i="1"/>
  <c r="K252" i="1"/>
  <c r="K253" i="1"/>
  <c r="K255" i="1"/>
  <c r="K256" i="1"/>
  <c r="K257" i="1"/>
  <c r="K237" i="1"/>
  <c r="K258" i="1"/>
  <c r="K259" i="1"/>
  <c r="K260" i="1"/>
  <c r="K261" i="1"/>
  <c r="K262" i="1"/>
  <c r="K263" i="1"/>
  <c r="K264" i="1"/>
  <c r="K265" i="1"/>
  <c r="K266" i="1"/>
  <c r="K267" i="1"/>
  <c r="K268" i="1"/>
  <c r="K270" i="1"/>
  <c r="K271" i="1"/>
  <c r="K272" i="1"/>
  <c r="K273" i="1"/>
  <c r="K280" i="1"/>
  <c r="K283" i="1"/>
  <c r="K286" i="1"/>
  <c r="K274" i="1"/>
  <c r="K275" i="1"/>
  <c r="K276" i="1"/>
  <c r="K277" i="1"/>
  <c r="K278" i="1"/>
  <c r="K279" i="1"/>
  <c r="K281" i="1"/>
  <c r="K282" i="1"/>
  <c r="K284" i="1"/>
  <c r="K285" i="1"/>
  <c r="K287" i="1"/>
  <c r="K288" i="1"/>
  <c r="K289" i="1"/>
  <c r="K269" i="1"/>
  <c r="K313" i="1"/>
  <c r="K290" i="1"/>
  <c r="K291" i="1"/>
  <c r="K317" i="1"/>
  <c r="K292" i="1"/>
  <c r="K293" i="1"/>
  <c r="K320" i="1"/>
  <c r="K294" i="1"/>
  <c r="K295" i="1"/>
  <c r="K299" i="1"/>
  <c r="K296" i="1"/>
  <c r="K297" i="1"/>
  <c r="K310" i="1"/>
  <c r="K298" i="1"/>
  <c r="K302" i="1"/>
  <c r="K300" i="1"/>
  <c r="K309" i="1"/>
  <c r="K303" i="1"/>
  <c r="K304" i="1"/>
  <c r="K307" i="1"/>
  <c r="K305" i="1"/>
  <c r="K312" i="1"/>
  <c r="K315" i="1"/>
  <c r="K318" i="1"/>
  <c r="K306" i="1"/>
  <c r="K316" i="1"/>
  <c r="K311" i="1"/>
  <c r="K308" i="1"/>
  <c r="K301" i="1"/>
  <c r="K314" i="1"/>
  <c r="K321" i="1"/>
  <c r="K319" i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tc={BD555CCB-0B23-5940-AB0E-1E1EF840B40D}</author>
  </authors>
  <commentList>
    <comment ref="K1" authorId="0" shapeId="0" xr:uid="{BD555CCB-0B23-5940-AB0E-1E1EF840B40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in red is data we've added/changed</t>
      </text>
    </comment>
  </commentList>
</comments>
</file>

<file path=xl/sharedStrings.xml><?xml version="1.0" encoding="utf-8"?>
<sst xmlns="http://schemas.openxmlformats.org/spreadsheetml/2006/main" count="1985" uniqueCount="432">
  <si>
    <t>Team_Season</t>
  </si>
  <si>
    <t>Year</t>
  </si>
  <si>
    <t>Team</t>
  </si>
  <si>
    <t>QB</t>
  </si>
  <si>
    <t>RB</t>
  </si>
  <si>
    <t>WR</t>
  </si>
  <si>
    <t>TE</t>
  </si>
  <si>
    <t>Pass-Catchers</t>
  </si>
  <si>
    <t>RB-Catchers</t>
  </si>
  <si>
    <t>OL</t>
  </si>
  <si>
    <t>Skill_Pos_Offense</t>
  </si>
  <si>
    <t>Offense</t>
  </si>
  <si>
    <t>IDL</t>
  </si>
  <si>
    <t>EDGE</t>
  </si>
  <si>
    <t>D-Line</t>
  </si>
  <si>
    <t>LB</t>
  </si>
  <si>
    <t>Front-7</t>
  </si>
  <si>
    <t>S</t>
  </si>
  <si>
    <t>CB</t>
  </si>
  <si>
    <t>Secondary</t>
  </si>
  <si>
    <t>Defense</t>
  </si>
  <si>
    <t>Season</t>
  </si>
  <si>
    <t>Injured_Reserve</t>
  </si>
  <si>
    <t>W_PCT</t>
  </si>
  <si>
    <t>Playoffs</t>
  </si>
  <si>
    <t>SB</t>
  </si>
  <si>
    <t>Cap</t>
  </si>
  <si>
    <t>QB_P</t>
  </si>
  <si>
    <t>RB_P</t>
  </si>
  <si>
    <t>WR_P</t>
  </si>
  <si>
    <t>TE_P</t>
  </si>
  <si>
    <t>Pass-Catcher_P</t>
  </si>
  <si>
    <t>RB-Catcher_P</t>
  </si>
  <si>
    <t>OL_P</t>
  </si>
  <si>
    <t>Skill_Pos_Offense_P</t>
  </si>
  <si>
    <t>IDL_P</t>
  </si>
  <si>
    <t>EDGE_P</t>
  </si>
  <si>
    <t>D-Line_P</t>
  </si>
  <si>
    <t>LB_P</t>
  </si>
  <si>
    <t>Front-7_P</t>
  </si>
  <si>
    <t>S_P</t>
  </si>
  <si>
    <t>CB_P</t>
  </si>
  <si>
    <t>Secondary_P</t>
  </si>
  <si>
    <t>Defense_P</t>
  </si>
  <si>
    <t>Offense_P</t>
  </si>
  <si>
    <t>Dead_Open_Specials</t>
  </si>
  <si>
    <t>Injured_Reserve_P</t>
  </si>
  <si>
    <t>W</t>
  </si>
  <si>
    <t>PF</t>
  </si>
  <si>
    <t>PA</t>
  </si>
  <si>
    <t>PF_Rank</t>
  </si>
  <si>
    <t>PA_Rank</t>
  </si>
  <si>
    <t>PF_ppg</t>
  </si>
  <si>
    <t>PA_ppg</t>
  </si>
  <si>
    <t>Point_Diff</t>
  </si>
  <si>
    <t>Point_Diff_Per_Game</t>
  </si>
  <si>
    <t>Qual</t>
  </si>
  <si>
    <t>avg_age</t>
  </si>
  <si>
    <t>cap_weighted_age</t>
  </si>
  <si>
    <t>cap_gini</t>
  </si>
  <si>
    <t>continuity</t>
  </si>
  <si>
    <t>age_bucket</t>
  </si>
  <si>
    <t>gini_bucket</t>
  </si>
  <si>
    <t>profile_rule</t>
  </si>
  <si>
    <t>profile_cluster</t>
  </si>
  <si>
    <t>Cardinals 2022</t>
  </si>
  <si>
    <t>Cardinals</t>
  </si>
  <si>
    <t>old</t>
  </si>
  <si>
    <t>balanced</t>
  </si>
  <si>
    <t>old &amp; balanced</t>
  </si>
  <si>
    <t>old &amp; concentrated</t>
  </si>
  <si>
    <t>Falcons 2022</t>
  </si>
  <si>
    <t>Falcons</t>
  </si>
  <si>
    <t>young</t>
  </si>
  <si>
    <t>diversified</t>
  </si>
  <si>
    <t>young &amp; diversified</t>
  </si>
  <si>
    <t>Ravens 2022</t>
  </si>
  <si>
    <t>Ravens</t>
  </si>
  <si>
    <t>Bills 2022</t>
  </si>
  <si>
    <t>Bills</t>
  </si>
  <si>
    <t>prime</t>
  </si>
  <si>
    <t>prime &amp; diversified</t>
  </si>
  <si>
    <t>Panthers 2022</t>
  </si>
  <si>
    <t>Panthers</t>
  </si>
  <si>
    <t>Bears 2022</t>
  </si>
  <si>
    <t>Bears</t>
  </si>
  <si>
    <t>Bengals 2022</t>
  </si>
  <si>
    <t>Bengals</t>
  </si>
  <si>
    <t>Browns 2022</t>
  </si>
  <si>
    <t>Browns</t>
  </si>
  <si>
    <t>Cowboys 2022</t>
  </si>
  <si>
    <t>Cowboys</t>
  </si>
  <si>
    <t>prime &amp; balanced</t>
  </si>
  <si>
    <t>young &amp; concentrated</t>
  </si>
  <si>
    <t>Broncos 2022</t>
  </si>
  <si>
    <t>Broncos</t>
  </si>
  <si>
    <t>concentrated</t>
  </si>
  <si>
    <t>Lions 2022</t>
  </si>
  <si>
    <t>Lions</t>
  </si>
  <si>
    <t>young &amp; balanced</t>
  </si>
  <si>
    <t>Packers 2022</t>
  </si>
  <si>
    <t>Packers</t>
  </si>
  <si>
    <t>old &amp; diversified</t>
  </si>
  <si>
    <t>Texans 2022</t>
  </si>
  <si>
    <t>Texans</t>
  </si>
  <si>
    <t>Colts 2022</t>
  </si>
  <si>
    <t>Colts</t>
  </si>
  <si>
    <t>Jaguars 2022</t>
  </si>
  <si>
    <t>Jaguars</t>
  </si>
  <si>
    <t>Chiefs 2022</t>
  </si>
  <si>
    <t>Chiefs</t>
  </si>
  <si>
    <t>Raiders 2022</t>
  </si>
  <si>
    <t>Raiders</t>
  </si>
  <si>
    <t>Chargers 2022</t>
  </si>
  <si>
    <t>Chargers</t>
  </si>
  <si>
    <t>Rams 2022</t>
  </si>
  <si>
    <t>Rams</t>
  </si>
  <si>
    <t>Dolphins 2022</t>
  </si>
  <si>
    <t>Dolphins</t>
  </si>
  <si>
    <t>Vikings 2022</t>
  </si>
  <si>
    <t>Vikings</t>
  </si>
  <si>
    <t>Patriots 2022</t>
  </si>
  <si>
    <t>Patriots</t>
  </si>
  <si>
    <t>Saints 2022</t>
  </si>
  <si>
    <t>Saints</t>
  </si>
  <si>
    <t>Giants 2022</t>
  </si>
  <si>
    <t>Giants</t>
  </si>
  <si>
    <t>Jets 2022</t>
  </si>
  <si>
    <t>Jets</t>
  </si>
  <si>
    <t>Eagles 2022</t>
  </si>
  <si>
    <t>Eagles</t>
  </si>
  <si>
    <t>Steelers 2022</t>
  </si>
  <si>
    <t>Steelers</t>
  </si>
  <si>
    <t>49ers 2022</t>
  </si>
  <si>
    <t>49ers</t>
  </si>
  <si>
    <t>Seahawks 2022</t>
  </si>
  <si>
    <t>Seahawks</t>
  </si>
  <si>
    <t>Buccaneers 2022</t>
  </si>
  <si>
    <t>Buccaneers</t>
  </si>
  <si>
    <t>Titans 2022</t>
  </si>
  <si>
    <t>Titans</t>
  </si>
  <si>
    <t>Commanders 2022</t>
  </si>
  <si>
    <t>Commanders</t>
  </si>
  <si>
    <t>Cardinals 2021</t>
  </si>
  <si>
    <t>Falcons 2021</t>
  </si>
  <si>
    <t>Ravens 2021</t>
  </si>
  <si>
    <t>Bills 2021</t>
  </si>
  <si>
    <t>Panthers 2021</t>
  </si>
  <si>
    <t>Bears 2021</t>
  </si>
  <si>
    <t>Bengals 2021</t>
  </si>
  <si>
    <t>Browns 2021</t>
  </si>
  <si>
    <t>Cowboys 2021</t>
  </si>
  <si>
    <t>Broncos 2021</t>
  </si>
  <si>
    <t>Lions 2021</t>
  </si>
  <si>
    <t>Packers 2021</t>
  </si>
  <si>
    <t>Texans 2021</t>
  </si>
  <si>
    <t>Colts 2021</t>
  </si>
  <si>
    <t>Jaguars 2021</t>
  </si>
  <si>
    <t>Chiefs 2021</t>
  </si>
  <si>
    <t>Raiders 2021</t>
  </si>
  <si>
    <t>Chargers 2021</t>
  </si>
  <si>
    <t>Rams 2021</t>
  </si>
  <si>
    <t>Dolphins 2021</t>
  </si>
  <si>
    <t>Vikings 2021</t>
  </si>
  <si>
    <t>prime &amp; concentrated</t>
  </si>
  <si>
    <t>Patriots 2021</t>
  </si>
  <si>
    <t>Saints 2021</t>
  </si>
  <si>
    <t>Giants 2021</t>
  </si>
  <si>
    <t>Jets 2021</t>
  </si>
  <si>
    <t>Eagles 2021</t>
  </si>
  <si>
    <t>Steelers 2021</t>
  </si>
  <si>
    <t>49ers 2021</t>
  </si>
  <si>
    <t>Seahawks 2021</t>
  </si>
  <si>
    <t>Buccaneers 2021</t>
  </si>
  <si>
    <t>Titans 2021</t>
  </si>
  <si>
    <t>Commanders 2021</t>
  </si>
  <si>
    <t>Cardinals 2020</t>
  </si>
  <si>
    <t>Falcons 2020</t>
  </si>
  <si>
    <t>Ravens 2020</t>
  </si>
  <si>
    <t>Bills 2020</t>
  </si>
  <si>
    <t>Panthers 2020</t>
  </si>
  <si>
    <t>Bears 2020</t>
  </si>
  <si>
    <t>Bengals 2020</t>
  </si>
  <si>
    <t>Browns 2020</t>
  </si>
  <si>
    <t>Cowboys 2020</t>
  </si>
  <si>
    <t>Broncos 2020</t>
  </si>
  <si>
    <t>Lions 2020</t>
  </si>
  <si>
    <t>Packers 2020</t>
  </si>
  <si>
    <t>Texans 2020</t>
  </si>
  <si>
    <t>Colts 2020</t>
  </si>
  <si>
    <t>Jaguars 2020</t>
  </si>
  <si>
    <t>Chiefs 2020</t>
  </si>
  <si>
    <t>Raiders 2020</t>
  </si>
  <si>
    <t>Chargers 2020</t>
  </si>
  <si>
    <t>Rams 2020</t>
  </si>
  <si>
    <t>Dolphins 2020</t>
  </si>
  <si>
    <t>Vikings 2020</t>
  </si>
  <si>
    <t>Patriots 2020</t>
  </si>
  <si>
    <t>Saints 2020</t>
  </si>
  <si>
    <t>Giants 2020</t>
  </si>
  <si>
    <t>Jets 2020</t>
  </si>
  <si>
    <t>Eagles 2020</t>
  </si>
  <si>
    <t>Steelers 2020</t>
  </si>
  <si>
    <t>49ers 2020</t>
  </si>
  <si>
    <t>Seahawks 2020</t>
  </si>
  <si>
    <t>Buccaneers 2020</t>
  </si>
  <si>
    <t>Titans 2020</t>
  </si>
  <si>
    <t>Commanders 2020</t>
  </si>
  <si>
    <t>Cardinals 2019</t>
  </si>
  <si>
    <t>Falcons 2019</t>
  </si>
  <si>
    <t>Ravens 2019</t>
  </si>
  <si>
    <t>Bills 2019</t>
  </si>
  <si>
    <t>Panthers 2019</t>
  </si>
  <si>
    <t>Bears 2019</t>
  </si>
  <si>
    <t>Bengals 2019</t>
  </si>
  <si>
    <t>Browns 2019</t>
  </si>
  <si>
    <t>Cowboys 2019</t>
  </si>
  <si>
    <t>Broncos 2019</t>
  </si>
  <si>
    <t>Lions 2019</t>
  </si>
  <si>
    <t>Packers 2019</t>
  </si>
  <si>
    <t>Texans 2019</t>
  </si>
  <si>
    <t>Colts 2019</t>
  </si>
  <si>
    <t>Jaguars 2019</t>
  </si>
  <si>
    <t>Chiefs 2019</t>
  </si>
  <si>
    <t>Chargers 2019</t>
  </si>
  <si>
    <t>Rams 2019</t>
  </si>
  <si>
    <t>Dolphins 2019</t>
  </si>
  <si>
    <t>Vikings 2019</t>
  </si>
  <si>
    <t>Patriots 2019</t>
  </si>
  <si>
    <t>Saints 2019</t>
  </si>
  <si>
    <t>Giants 2019</t>
  </si>
  <si>
    <t>Jets 2019</t>
  </si>
  <si>
    <t>Raiders 2019</t>
  </si>
  <si>
    <t>Eagles 2019</t>
  </si>
  <si>
    <t>Steelers 2019</t>
  </si>
  <si>
    <t>49ers 2019</t>
  </si>
  <si>
    <t>Seahawks 2019</t>
  </si>
  <si>
    <t>Buccaneers 2019</t>
  </si>
  <si>
    <t>Titans 2019</t>
  </si>
  <si>
    <t>Commanders 2019</t>
  </si>
  <si>
    <t>Cardinals 2018</t>
  </si>
  <si>
    <t>Falcons 2018</t>
  </si>
  <si>
    <t>Ravens 2018</t>
  </si>
  <si>
    <t>Bills 2018</t>
  </si>
  <si>
    <t>Panthers 2018</t>
  </si>
  <si>
    <t>Bears 2018</t>
  </si>
  <si>
    <t>Bengals 2018</t>
  </si>
  <si>
    <t>Browns 2018</t>
  </si>
  <si>
    <t>Cowboys 2018</t>
  </si>
  <si>
    <t>Broncos 2018</t>
  </si>
  <si>
    <t>Lions 2018</t>
  </si>
  <si>
    <t>Packers 2018</t>
  </si>
  <si>
    <t>Texans 2018</t>
  </si>
  <si>
    <t>Colts 2018</t>
  </si>
  <si>
    <t>Jaguars 2018</t>
  </si>
  <si>
    <t>Chiefs 2018</t>
  </si>
  <si>
    <t>Chargers 2018</t>
  </si>
  <si>
    <t>Rams 2018</t>
  </si>
  <si>
    <t>Dolphins 2018</t>
  </si>
  <si>
    <t>Vikings 2018</t>
  </si>
  <si>
    <t>Patriots 2018</t>
  </si>
  <si>
    <t>Saints 2018</t>
  </si>
  <si>
    <t>Giants 2018</t>
  </si>
  <si>
    <t>Jets 2018</t>
  </si>
  <si>
    <t>Raiders 2018</t>
  </si>
  <si>
    <t>Eagles 2018</t>
  </si>
  <si>
    <t>Steelers 2018</t>
  </si>
  <si>
    <t>49ers 2018</t>
  </si>
  <si>
    <t>Seahawks 2018</t>
  </si>
  <si>
    <t>Buccaneers 2018</t>
  </si>
  <si>
    <t>Titans 2018</t>
  </si>
  <si>
    <t>Commanders 2018</t>
  </si>
  <si>
    <t>Cardinals 2017</t>
  </si>
  <si>
    <t>Falcons 2017</t>
  </si>
  <si>
    <t>Ravens 2017</t>
  </si>
  <si>
    <t>Bills 2017</t>
  </si>
  <si>
    <t>Panthers 2017</t>
  </si>
  <si>
    <t>Bears 2017</t>
  </si>
  <si>
    <t>Bengals 2017</t>
  </si>
  <si>
    <t>Browns 2017</t>
  </si>
  <si>
    <t>Cowboys 2017</t>
  </si>
  <si>
    <t>Broncos 2017</t>
  </si>
  <si>
    <t>Lions 2017</t>
  </si>
  <si>
    <t>Packers 2017</t>
  </si>
  <si>
    <t>Texans 2017</t>
  </si>
  <si>
    <t>Colts 2017</t>
  </si>
  <si>
    <t>Jaguars 2017</t>
  </si>
  <si>
    <t>Chiefs 2017</t>
  </si>
  <si>
    <t>Chargers 2017</t>
  </si>
  <si>
    <t>Rams 2017</t>
  </si>
  <si>
    <t>Dolphins 2017</t>
  </si>
  <si>
    <t>Vikings 2017</t>
  </si>
  <si>
    <t>Patriots 2017</t>
  </si>
  <si>
    <t>Saints 2017</t>
  </si>
  <si>
    <t>Giants 2017</t>
  </si>
  <si>
    <t>Jets 2017</t>
  </si>
  <si>
    <t>Raiders 2017</t>
  </si>
  <si>
    <t>Eagles 2017</t>
  </si>
  <si>
    <t>Steelers 2017</t>
  </si>
  <si>
    <t>49ers 2017</t>
  </si>
  <si>
    <t>Seahawks 2017</t>
  </si>
  <si>
    <t>Buccaneers 2017</t>
  </si>
  <si>
    <t>Titans 2017</t>
  </si>
  <si>
    <t>Commanders 2017</t>
  </si>
  <si>
    <t>Cardinals 2016</t>
  </si>
  <si>
    <t>Falcons 2016</t>
  </si>
  <si>
    <t>Ravens 2016</t>
  </si>
  <si>
    <t>Bills 2016</t>
  </si>
  <si>
    <t>Panthers 2016</t>
  </si>
  <si>
    <t>Bears 2016</t>
  </si>
  <si>
    <t>Bengals 2016</t>
  </si>
  <si>
    <t>Browns 2016</t>
  </si>
  <si>
    <t>Cowboys 2016</t>
  </si>
  <si>
    <t>Broncos 2016</t>
  </si>
  <si>
    <t>Lions 2016</t>
  </si>
  <si>
    <t>Packers 2016</t>
  </si>
  <si>
    <t>Texans 2016</t>
  </si>
  <si>
    <t>Colts 2016</t>
  </si>
  <si>
    <t>Jaguars 2016</t>
  </si>
  <si>
    <t>Chiefs 2016</t>
  </si>
  <si>
    <t>Rams 2016</t>
  </si>
  <si>
    <t>Dolphins 2016</t>
  </si>
  <si>
    <t>Vikings 2016</t>
  </si>
  <si>
    <t>Patriots 2016</t>
  </si>
  <si>
    <t>Saints 2016</t>
  </si>
  <si>
    <t>Giants 2016</t>
  </si>
  <si>
    <t>Jets 2016</t>
  </si>
  <si>
    <t>Raiders 2016</t>
  </si>
  <si>
    <t>Eagles 2016</t>
  </si>
  <si>
    <t>Steelers 2016</t>
  </si>
  <si>
    <t>Chargers 2016</t>
  </si>
  <si>
    <t>49ers 2016</t>
  </si>
  <si>
    <t>Seahawks 2016</t>
  </si>
  <si>
    <t>Buccaneers 2016</t>
  </si>
  <si>
    <t>Titans 2016</t>
  </si>
  <si>
    <t>Commanders 2016</t>
  </si>
  <si>
    <t>Cardinals 2015</t>
  </si>
  <si>
    <t>Falcons 2015</t>
  </si>
  <si>
    <t>Ravens 2015</t>
  </si>
  <si>
    <t>Bills 2015</t>
  </si>
  <si>
    <t>Panthers 2015</t>
  </si>
  <si>
    <t>Bears 2015</t>
  </si>
  <si>
    <t>Bengals 2015</t>
  </si>
  <si>
    <t>Browns 2015</t>
  </si>
  <si>
    <t>Cowboys 2015</t>
  </si>
  <si>
    <t>Broncos 2015</t>
  </si>
  <si>
    <t>Lions 2015</t>
  </si>
  <si>
    <t>Packers 2015</t>
  </si>
  <si>
    <t>Texans 2015</t>
  </si>
  <si>
    <t>Colts 2015</t>
  </si>
  <si>
    <t>Jaguars 2015</t>
  </si>
  <si>
    <t>Chiefs 2015</t>
  </si>
  <si>
    <t>Dolphins 2015</t>
  </si>
  <si>
    <t>Vikings 2015</t>
  </si>
  <si>
    <t>Patriots 2015</t>
  </si>
  <si>
    <t>Saints 2015</t>
  </si>
  <si>
    <t>Giants 2015</t>
  </si>
  <si>
    <t>Jets 2015</t>
  </si>
  <si>
    <t>Raiders 2015</t>
  </si>
  <si>
    <t>Eagles 2015</t>
  </si>
  <si>
    <t>Steelers 2015</t>
  </si>
  <si>
    <t>Chargers 2015</t>
  </si>
  <si>
    <t>49ers 2015</t>
  </si>
  <si>
    <t>Seahawks 2015</t>
  </si>
  <si>
    <t>Rams 2015</t>
  </si>
  <si>
    <t>Buccaneers 2015</t>
  </si>
  <si>
    <t>Titans 2015</t>
  </si>
  <si>
    <t>Commanders 2015</t>
  </si>
  <si>
    <t>Cardinals 2014</t>
  </si>
  <si>
    <t>Falcons 2014</t>
  </si>
  <si>
    <t>Ravens 2014</t>
  </si>
  <si>
    <t>Bills 2014</t>
  </si>
  <si>
    <t>Panthers 2014</t>
  </si>
  <si>
    <t>Bears 2014</t>
  </si>
  <si>
    <t>Bengals 2014</t>
  </si>
  <si>
    <t>Browns 2014</t>
  </si>
  <si>
    <t>Cowboys 2014</t>
  </si>
  <si>
    <t>Broncos 2014</t>
  </si>
  <si>
    <t>Lions 2014</t>
  </si>
  <si>
    <t>Packers 2014</t>
  </si>
  <si>
    <t>Texans 2014</t>
  </si>
  <si>
    <t>Colts 2014</t>
  </si>
  <si>
    <t>Jaguars 2014</t>
  </si>
  <si>
    <t>Chiefs 2014</t>
  </si>
  <si>
    <t>Dolphins 2014</t>
  </si>
  <si>
    <t>Vikings 2014</t>
  </si>
  <si>
    <t>Patriots 2014</t>
  </si>
  <si>
    <t>Saints 2014</t>
  </si>
  <si>
    <t>Giants 2014</t>
  </si>
  <si>
    <t>Jets 2014</t>
  </si>
  <si>
    <t>Raiders 2014</t>
  </si>
  <si>
    <t>Eagles 2014</t>
  </si>
  <si>
    <t>Steelers 2014</t>
  </si>
  <si>
    <t>Chargers 2014</t>
  </si>
  <si>
    <t>49ers 2014</t>
  </si>
  <si>
    <t>Seahawks 2014</t>
  </si>
  <si>
    <t>Rams 2014</t>
  </si>
  <si>
    <t>Buccaneers 2014</t>
  </si>
  <si>
    <t>Titans 2014</t>
  </si>
  <si>
    <t>Commanders 2014</t>
  </si>
  <si>
    <t>Cardinals 2013</t>
  </si>
  <si>
    <t>Falcons 2013</t>
  </si>
  <si>
    <t>Ravens 2013</t>
  </si>
  <si>
    <t>Bills 2013</t>
  </si>
  <si>
    <t>Panthers 2013</t>
  </si>
  <si>
    <t>Bears 2013</t>
  </si>
  <si>
    <t>Bengals 2013</t>
  </si>
  <si>
    <t>Browns 2013</t>
  </si>
  <si>
    <t>Cowboys 2013</t>
  </si>
  <si>
    <t>Broncos 2013</t>
  </si>
  <si>
    <t>Lions 2013</t>
  </si>
  <si>
    <t>Packers 2013</t>
  </si>
  <si>
    <t>Texans 2013</t>
  </si>
  <si>
    <t>Colts 2013</t>
  </si>
  <si>
    <t>Jaguars 2013</t>
  </si>
  <si>
    <t>Chiefs 2013</t>
  </si>
  <si>
    <t>Dolphins 2013</t>
  </si>
  <si>
    <t>Vikings 2013</t>
  </si>
  <si>
    <t>Patriots 2013</t>
  </si>
  <si>
    <t>Saints 2013</t>
  </si>
  <si>
    <t>Giants 2013</t>
  </si>
  <si>
    <t>Jets 2013</t>
  </si>
  <si>
    <t>Raiders 2013</t>
  </si>
  <si>
    <t>Eagles 2013</t>
  </si>
  <si>
    <t>Steelers 2013</t>
  </si>
  <si>
    <t>Chargers 2013</t>
  </si>
  <si>
    <t>49ers 2013</t>
  </si>
  <si>
    <t>Seahawks 2013</t>
  </si>
  <si>
    <t>Rams 2013</t>
  </si>
  <si>
    <t>Buccaneers 2013</t>
  </si>
  <si>
    <t>Titans 2013</t>
  </si>
  <si>
    <t>Commanders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</si>
</sst>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</font>
    <font>
      <sz val="11"/>
      <color theme="4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3" fontId="0" fillId="0" borderId="0" xfId="0" applyNumberFormat="1"/>
    <xf numFmtId="0" fontId="11" fillId="0" borderId="0" xfId="0" applyFont="1" applyAlignment="1">
      <alignment wrapText="1"/>
    </xf>
    <xf numFmtId="0" fontId="11" fillId="0" borderId="0" xfId="0" applyFont="1"/>
    <xf numFmtId="0" fontId="12" fillId="0" borderId="0" xfId="1" applyFont="1"/>
    <xf numFmtId="0" fontId="2" fillId="0" borderId="0" xfId="0" applyFont="1"/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ilip, Zachary L" id="{4690EFD1-04BB-924F-911C-EB23D4813E0C}" userId="S::zachary.l.philip@vanderbilt.edu::e468879b-6c8a-4b1d-afc0-1f9840f4d8a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08-31T18:48:34.21" personId="{4690EFD1-04BB-924F-911C-EB23D4813E0C}" id="{BD555CCB-0B23-5940-AB0E-1E1EF840B40D}">
    <text>Data in red is data we've added/changed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5807-DD85-40E5-8FA0-DFB3468A1D6E}">
  <dimension ref="A1:CB325"/>
  <sheetViews>
    <sheetView tabSelected="1" topLeftCell="N1" workbookViewId="0">
      <selection activeCell="N1" sqref="N1"/>
    </sheetView>
  </sheetViews>
  <sheetFormatPr defaultColWidth="8.85546875" defaultRowHeight="15"/>
  <cols>
    <col min="1" max="1" width="15.7109375" bestFit="1" customWidth="1"/>
    <col min="2" max="2" width="15.7109375" customWidth="1"/>
    <col min="3" max="3" width="11" bestFit="1" customWidth="1"/>
    <col min="4" max="4" width="12.42578125" customWidth="1"/>
    <col min="5" max="5" width="11.28515625" customWidth="1"/>
    <col min="6" max="6" width="13" customWidth="1"/>
    <col min="7" max="7" width="10.85546875" customWidth="1"/>
    <col min="8" max="9" width="14.5703125" customWidth="1"/>
    <col min="10" max="10" width="12.7109375" customWidth="1"/>
    <col min="11" max="11" width="12.42578125" customWidth="1"/>
    <col min="12" max="12" width="12.7109375" customWidth="1"/>
    <col min="13" max="14" width="11.140625" customWidth="1"/>
    <col min="15" max="15" width="12.42578125" style="5" customWidth="1"/>
    <col min="16" max="16" width="11.140625" customWidth="1"/>
    <col min="17" max="17" width="11" style="5" customWidth="1"/>
    <col min="18" max="18" width="11.7109375" customWidth="1"/>
    <col min="20" max="20" width="12.28515625" style="5" customWidth="1"/>
    <col min="21" max="21" width="13.28515625" customWidth="1"/>
    <col min="22" max="22" width="9.5703125" customWidth="1"/>
    <col min="23" max="23" width="13.28515625" customWidth="1"/>
    <col min="27" max="27" width="12.28515625" customWidth="1"/>
    <col min="28" max="28" width="13.28515625" customWidth="1"/>
    <col min="29" max="29" width="13.140625" customWidth="1"/>
    <col min="30" max="30" width="14" customWidth="1"/>
    <col min="31" max="31" width="13.28515625" customWidth="1"/>
    <col min="32" max="33" width="14" customWidth="1"/>
    <col min="34" max="34" width="13.140625" customWidth="1"/>
    <col min="35" max="35" width="18" customWidth="1"/>
    <col min="36" max="36" width="14.85546875" customWidth="1"/>
    <col min="37" max="37" width="14" customWidth="1"/>
    <col min="38" max="38" width="13.42578125" style="5" customWidth="1"/>
    <col min="39" max="39" width="13.5703125" customWidth="1"/>
    <col min="40" max="40" width="14" style="5" customWidth="1"/>
    <col min="41" max="41" width="15.140625" customWidth="1"/>
    <col min="42" max="42" width="11.85546875" customWidth="1"/>
    <col min="43" max="43" width="11.85546875" style="5" customWidth="1"/>
    <col min="44" max="44" width="14.5703125" customWidth="1"/>
    <col min="45" max="45" width="12.5703125" customWidth="1"/>
    <col min="46" max="47" width="20" customWidth="1"/>
    <col min="49" max="49" width="19.7109375" customWidth="1"/>
    <col min="50" max="50" width="19.28515625" customWidth="1"/>
    <col min="51" max="51" width="17.7109375" customWidth="1"/>
    <col min="52" max="52" width="18.140625" customWidth="1"/>
    <col min="55" max="55" width="18.7109375" customWidth="1"/>
    <col min="56" max="56" width="20.42578125" customWidth="1"/>
    <col min="57" max="57" width="19.42578125" style="12" customWidth="1"/>
    <col min="64" max="64" width="12.28515625" customWidth="1"/>
    <col min="65" max="65" width="18" customWidth="1"/>
    <col min="66" max="66" width="19.85546875" customWidth="1"/>
  </cols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4" t="s">
        <v>37</v>
      </c>
      <c r="AM1" s="1" t="s">
        <v>38</v>
      </c>
      <c r="AN1" s="4" t="s">
        <v>39</v>
      </c>
      <c r="AO1" s="1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t="s">
        <v>49</v>
      </c>
      <c r="AY1" s="7" t="s">
        <v>50</v>
      </c>
      <c r="AZ1" s="7" t="s">
        <v>51</v>
      </c>
      <c r="BA1" s="9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3" t="s">
        <v>57</v>
      </c>
      <c r="BG1" s="13" t="s">
        <v>58</v>
      </c>
      <c r="BH1" s="13" t="s">
        <v>59</v>
      </c>
      <c r="BI1" s="14" t="s">
        <v>60</v>
      </c>
      <c r="BJ1" s="14"/>
      <c r="BK1" s="14" t="s">
        <v>61</v>
      </c>
      <c r="BL1" s="15" t="s">
        <v>62</v>
      </c>
      <c r="BM1" s="15" t="s">
        <v>63</v>
      </c>
      <c r="BN1" s="15" t="s">
        <v>64</v>
      </c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spans="1:80">
      <c r="A2" s="1" t="s">
        <v>65</v>
      </c>
      <c r="B2" s="1">
        <v>2022</v>
      </c>
      <c r="C2" s="1" t="s">
        <v>66</v>
      </c>
      <c r="D2" s="1">
        <v>16348925</v>
      </c>
      <c r="E2" s="1">
        <v>6213758</v>
      </c>
      <c r="F2" s="1">
        <v>24621833</v>
      </c>
      <c r="G2" s="1">
        <v>7121287</v>
      </c>
      <c r="H2" s="2">
        <f>SUM(F2:G2)</f>
        <v>31743120</v>
      </c>
      <c r="I2" s="2">
        <f>H2+E2</f>
        <v>37956878</v>
      </c>
      <c r="J2" s="1">
        <v>44681251</v>
      </c>
      <c r="K2" s="2">
        <f>SUM(D2:G2)</f>
        <v>54305803</v>
      </c>
      <c r="L2" s="1">
        <v>98987054</v>
      </c>
      <c r="M2" s="1">
        <v>23503243</v>
      </c>
      <c r="N2" s="1">
        <v>9842220</v>
      </c>
      <c r="O2" s="4">
        <f>SUM(M2:N2)</f>
        <v>33345463</v>
      </c>
      <c r="P2" s="1">
        <v>15369345</v>
      </c>
      <c r="Q2" s="4">
        <f>SUM(O2:P2)</f>
        <v>48714808</v>
      </c>
      <c r="R2" s="1">
        <v>19606956</v>
      </c>
      <c r="S2" s="1">
        <v>7124107</v>
      </c>
      <c r="T2" s="4">
        <f>SUM(R2:S2)</f>
        <v>26731063</v>
      </c>
      <c r="U2" s="1">
        <v>75445871</v>
      </c>
      <c r="V2" s="1">
        <v>2022</v>
      </c>
      <c r="W2" s="8">
        <v>79550165</v>
      </c>
      <c r="X2" s="1">
        <v>0.23499999999999999</v>
      </c>
      <c r="Y2" s="1">
        <v>0</v>
      </c>
      <c r="Z2" s="1">
        <v>0</v>
      </c>
      <c r="AA2" s="1">
        <v>208200000</v>
      </c>
      <c r="AB2" s="1">
        <v>7.8525096061479352E-2</v>
      </c>
      <c r="AC2" s="1">
        <v>2.9845139289145051E-2</v>
      </c>
      <c r="AD2" s="1">
        <v>0.1182604851104707</v>
      </c>
      <c r="AE2" s="1">
        <v>3.4204068203650337E-2</v>
      </c>
      <c r="AF2" s="2">
        <f>SUM(AD2:AE2)</f>
        <v>0.15246455331412104</v>
      </c>
      <c r="AG2" s="2">
        <f>AF2+AC2</f>
        <v>0.1823096926032661</v>
      </c>
      <c r="AH2" s="1">
        <v>0.21460735350624399</v>
      </c>
      <c r="AI2" s="2">
        <f>SUM(AB2:AE2)</f>
        <v>0.26083478866474546</v>
      </c>
      <c r="AJ2" s="1">
        <v>0.11288781460134487</v>
      </c>
      <c r="AK2" s="1">
        <v>4.7272910662824207E-2</v>
      </c>
      <c r="AL2" s="4">
        <f>SUM(AJ2:AK2)</f>
        <v>0.16016072526416908</v>
      </c>
      <c r="AM2" s="1">
        <v>7.3820100864553317E-2</v>
      </c>
      <c r="AN2" s="4">
        <f>SUM(AL2:AM2)</f>
        <v>0.2339808261287224</v>
      </c>
      <c r="AO2" s="1">
        <v>9.4173659942363111E-2</v>
      </c>
      <c r="AP2" s="1">
        <v>3.4217612872238234E-2</v>
      </c>
      <c r="AQ2" s="4">
        <f>SUM(AO2:AP2)</f>
        <v>0.12839127281460133</v>
      </c>
      <c r="AR2" s="1">
        <v>0.36237209894332373</v>
      </c>
      <c r="AS2" s="1">
        <v>0.47544214217098946</v>
      </c>
      <c r="AT2" s="1">
        <v>0.16218575888568676</v>
      </c>
      <c r="AU2" s="1">
        <f>W2/AA2</f>
        <v>0.38208532660902977</v>
      </c>
      <c r="AV2" s="1">
        <v>4</v>
      </c>
      <c r="AW2">
        <v>340</v>
      </c>
      <c r="AX2">
        <v>449</v>
      </c>
      <c r="AY2" s="6">
        <v>21</v>
      </c>
      <c r="AZ2" s="6">
        <v>31</v>
      </c>
      <c r="BA2" s="11">
        <f>AW2/17</f>
        <v>20</v>
      </c>
      <c r="BB2">
        <f>AX2/17</f>
        <v>26.411764705882351</v>
      </c>
      <c r="BC2">
        <f>AW2 - AX2</f>
        <v>-109</v>
      </c>
      <c r="BD2">
        <f>BC2/17</f>
        <v>-6.4117647058823533</v>
      </c>
      <c r="BE2" s="10">
        <v>5.0830024812698502</v>
      </c>
      <c r="BF2" s="6">
        <v>27.267610000000001</v>
      </c>
      <c r="BG2" s="6">
        <v>28.720099999999999</v>
      </c>
      <c r="BH2" s="6">
        <v>0.62435499999999999</v>
      </c>
      <c r="BI2" s="6">
        <v>0.57746500000000001</v>
      </c>
      <c r="BJ2" s="6"/>
      <c r="BK2" s="6" t="s">
        <v>67</v>
      </c>
      <c r="BL2" s="6" t="s">
        <v>68</v>
      </c>
      <c r="BM2" s="6" t="s">
        <v>69</v>
      </c>
      <c r="BN2" s="6" t="s">
        <v>70</v>
      </c>
    </row>
    <row r="3" spans="1:80">
      <c r="A3" s="1" t="s">
        <v>71</v>
      </c>
      <c r="B3" s="1">
        <v>2022</v>
      </c>
      <c r="C3" s="1" t="s">
        <v>72</v>
      </c>
      <c r="D3" s="1">
        <v>6303695</v>
      </c>
      <c r="E3" s="1">
        <v>4894510</v>
      </c>
      <c r="F3" s="1">
        <v>9535858</v>
      </c>
      <c r="G3" s="1">
        <v>10678128</v>
      </c>
      <c r="H3" s="2">
        <f t="shared" ref="H3:H66" si="0">SUM(F3:G3)</f>
        <v>20213986</v>
      </c>
      <c r="I3" s="2">
        <f>H3+E3</f>
        <v>25108496</v>
      </c>
      <c r="J3" s="1">
        <v>32848444</v>
      </c>
      <c r="K3" s="2">
        <f t="shared" ref="K3:K66" si="1">SUM(D3:G3)</f>
        <v>31412191</v>
      </c>
      <c r="L3" s="1">
        <v>64260635</v>
      </c>
      <c r="M3" s="1">
        <v>18104464</v>
      </c>
      <c r="N3" s="1">
        <v>6077102</v>
      </c>
      <c r="O3" s="4">
        <f t="shared" ref="O3:O66" si="2">SUM(M3:N3)</f>
        <v>24181566</v>
      </c>
      <c r="P3" s="1">
        <v>4917321</v>
      </c>
      <c r="Q3" s="4">
        <f t="shared" ref="Q3:Q66" si="3">SUM(O3:P3)</f>
        <v>29098887</v>
      </c>
      <c r="R3" s="1">
        <v>4468126</v>
      </c>
      <c r="S3" s="1">
        <v>14033033</v>
      </c>
      <c r="T3" s="4">
        <f t="shared" ref="T3:T66" si="4">SUM(R3:S3)</f>
        <v>18501159</v>
      </c>
      <c r="U3" s="1">
        <v>47600046</v>
      </c>
      <c r="V3" s="1">
        <v>2022</v>
      </c>
      <c r="W3" s="8">
        <v>21702897</v>
      </c>
      <c r="X3" s="1">
        <v>0.41199999999999998</v>
      </c>
      <c r="Y3" s="1">
        <v>0</v>
      </c>
      <c r="Z3" s="1">
        <v>0</v>
      </c>
      <c r="AA3" s="1">
        <v>208200000</v>
      </c>
      <c r="AB3" s="1">
        <v>3.0277113352545629E-2</v>
      </c>
      <c r="AC3" s="1">
        <v>2.3508693563880884E-2</v>
      </c>
      <c r="AD3" s="1">
        <v>4.5801431316042265E-2</v>
      </c>
      <c r="AE3" s="1">
        <v>5.1287838616714695E-2</v>
      </c>
      <c r="AF3" s="2">
        <f t="shared" ref="AF3:AF66" si="5">SUM(AD3:AE3)</f>
        <v>9.7089269932756961E-2</v>
      </c>
      <c r="AG3" s="2">
        <f>AF3+AC3</f>
        <v>0.12059796349663784</v>
      </c>
      <c r="AH3" s="1">
        <v>0.15777350624399616</v>
      </c>
      <c r="AI3" s="2">
        <f t="shared" ref="AI3:AI66" si="6">SUM(AB3:AE3)</f>
        <v>0.15087507684918347</v>
      </c>
      <c r="AJ3" s="1">
        <v>8.6957079731027856E-2</v>
      </c>
      <c r="AK3" s="1">
        <v>2.918877041306436E-2</v>
      </c>
      <c r="AL3" s="4">
        <f t="shared" ref="AL3:AL66" si="7">SUM(AJ3:AK3)</f>
        <v>0.11614585014409222</v>
      </c>
      <c r="AM3" s="1">
        <v>2.3618256484149856E-2</v>
      </c>
      <c r="AN3" s="4">
        <f t="shared" ref="AN3:AN66" si="8">SUM(AL3:AM3)</f>
        <v>0.13976410662824207</v>
      </c>
      <c r="AO3" s="1">
        <v>2.1460739673390971E-2</v>
      </c>
      <c r="AP3" s="1">
        <v>6.7401695485110477E-2</v>
      </c>
      <c r="AQ3" s="4">
        <f t="shared" ref="AQ3:AQ66" si="9">SUM(AO3:AP3)</f>
        <v>8.8862435158501452E-2</v>
      </c>
      <c r="AR3" s="1">
        <v>0.22862654178674352</v>
      </c>
      <c r="AS3" s="1">
        <v>0.30864858309317966</v>
      </c>
      <c r="AT3" s="1">
        <v>0.46272487512007676</v>
      </c>
      <c r="AU3" s="1">
        <f t="shared" ref="AU3:AU66" si="10">W3/AA3</f>
        <v>0.10424061959654178</v>
      </c>
      <c r="AV3" s="1">
        <v>7</v>
      </c>
      <c r="AW3">
        <v>365</v>
      </c>
      <c r="AX3">
        <v>386</v>
      </c>
      <c r="AY3" s="6">
        <v>15</v>
      </c>
      <c r="AZ3" s="6">
        <v>23</v>
      </c>
      <c r="BA3" s="11">
        <f t="shared" ref="BA3:BA65" si="11">AW3/17</f>
        <v>21.470588235294116</v>
      </c>
      <c r="BB3">
        <f t="shared" ref="BB3:BB65" si="12">AX3/17</f>
        <v>22.705882352941178</v>
      </c>
      <c r="BC3">
        <f t="shared" ref="BC3:BC66" si="13">AW3 - AX3</f>
        <v>-21</v>
      </c>
      <c r="BD3">
        <f t="shared" ref="BD3:BD65" si="14">BC3/17</f>
        <v>-1.2352941176470589</v>
      </c>
      <c r="BE3" s="10">
        <v>7.4884683677952504</v>
      </c>
      <c r="BF3" s="6">
        <v>25.984850000000002</v>
      </c>
      <c r="BG3" s="6">
        <v>26.84299</v>
      </c>
      <c r="BH3" s="6">
        <v>0.54892300000000005</v>
      </c>
      <c r="BI3" s="6">
        <v>0.38806000000000002</v>
      </c>
      <c r="BJ3" s="6"/>
      <c r="BK3" s="6" t="s">
        <v>73</v>
      </c>
      <c r="BL3" s="6" t="s">
        <v>74</v>
      </c>
      <c r="BM3" s="6" t="s">
        <v>75</v>
      </c>
      <c r="BN3" s="6" t="s">
        <v>75</v>
      </c>
    </row>
    <row r="4" spans="1:80">
      <c r="A4" s="1" t="s">
        <v>76</v>
      </c>
      <c r="B4" s="1">
        <v>2022</v>
      </c>
      <c r="C4" s="1" t="s">
        <v>77</v>
      </c>
      <c r="D4" s="1">
        <v>24100655</v>
      </c>
      <c r="E4" s="1">
        <v>8179654</v>
      </c>
      <c r="F4" s="1">
        <v>7616822</v>
      </c>
      <c r="G4" s="1">
        <v>12307075</v>
      </c>
      <c r="H4" s="2">
        <f t="shared" si="0"/>
        <v>19923897</v>
      </c>
      <c r="I4" s="2">
        <f>H4+E4</f>
        <v>28103551</v>
      </c>
      <c r="J4" s="1">
        <v>38678276</v>
      </c>
      <c r="K4" s="2">
        <f t="shared" si="1"/>
        <v>52204206</v>
      </c>
      <c r="L4" s="1">
        <v>90882482</v>
      </c>
      <c r="M4" s="1">
        <v>11195023</v>
      </c>
      <c r="N4" s="1">
        <v>14877531</v>
      </c>
      <c r="O4" s="4">
        <f t="shared" si="2"/>
        <v>26072554</v>
      </c>
      <c r="P4" s="1">
        <v>7852081</v>
      </c>
      <c r="Q4" s="4">
        <f t="shared" si="3"/>
        <v>33924635</v>
      </c>
      <c r="R4" s="1">
        <v>12066802</v>
      </c>
      <c r="S4" s="1">
        <v>32103215</v>
      </c>
      <c r="T4" s="4">
        <f t="shared" si="4"/>
        <v>44170017</v>
      </c>
      <c r="U4" s="1">
        <v>78094652</v>
      </c>
      <c r="V4" s="1">
        <v>2022</v>
      </c>
      <c r="W4" s="8">
        <v>15768186</v>
      </c>
      <c r="X4" s="1">
        <v>0.58799999999999997</v>
      </c>
      <c r="Y4" s="1">
        <v>1</v>
      </c>
      <c r="Z4" s="1">
        <v>0</v>
      </c>
      <c r="AA4" s="1">
        <v>208200000</v>
      </c>
      <c r="AB4" s="1">
        <v>0.11575722862632085</v>
      </c>
      <c r="AC4" s="1">
        <v>3.9287483189241114E-2</v>
      </c>
      <c r="AD4" s="1">
        <v>3.6584159462055718E-2</v>
      </c>
      <c r="AE4" s="1">
        <v>5.9111791546589819E-2</v>
      </c>
      <c r="AF4" s="2">
        <f t="shared" si="5"/>
        <v>9.569595100864553E-2</v>
      </c>
      <c r="AG4" s="2">
        <f>AF4+AC4</f>
        <v>0.13498343419788664</v>
      </c>
      <c r="AH4" s="1">
        <v>0.18577462055715657</v>
      </c>
      <c r="AI4" s="2">
        <f t="shared" si="6"/>
        <v>0.25074066282420748</v>
      </c>
      <c r="AJ4" s="1">
        <v>5.3770523535062439E-2</v>
      </c>
      <c r="AK4" s="1">
        <v>7.14578818443804E-2</v>
      </c>
      <c r="AL4" s="4">
        <f t="shared" si="7"/>
        <v>0.12522840537944285</v>
      </c>
      <c r="AM4" s="1">
        <v>3.7714125840537946E-2</v>
      </c>
      <c r="AN4" s="4">
        <f t="shared" si="8"/>
        <v>0.16294253121998081</v>
      </c>
      <c r="AO4" s="1">
        <v>5.795774255523535E-2</v>
      </c>
      <c r="AP4" s="1">
        <v>0.15419411623439</v>
      </c>
      <c r="AQ4" s="4">
        <f t="shared" si="9"/>
        <v>0.21215185878962534</v>
      </c>
      <c r="AR4" s="1">
        <v>0.37509439000960615</v>
      </c>
      <c r="AS4" s="1">
        <v>0.43651528338136408</v>
      </c>
      <c r="AT4" s="1">
        <v>0.18839032660902977</v>
      </c>
      <c r="AU4" s="1">
        <f t="shared" si="10"/>
        <v>7.573576368876081E-2</v>
      </c>
      <c r="AV4" s="1">
        <v>10</v>
      </c>
      <c r="AW4">
        <v>350</v>
      </c>
      <c r="AX4">
        <v>315</v>
      </c>
      <c r="AY4" s="6">
        <v>19</v>
      </c>
      <c r="AZ4" s="6">
        <v>3</v>
      </c>
      <c r="BA4" s="11">
        <f t="shared" si="11"/>
        <v>20.588235294117649</v>
      </c>
      <c r="BB4">
        <f t="shared" si="12"/>
        <v>18.529411764705884</v>
      </c>
      <c r="BC4">
        <f t="shared" si="13"/>
        <v>35</v>
      </c>
      <c r="BD4">
        <f t="shared" si="14"/>
        <v>2.0588235294117645</v>
      </c>
      <c r="BE4" s="10">
        <v>9.0192193865354806</v>
      </c>
      <c r="BF4" s="6">
        <v>26.33333</v>
      </c>
      <c r="BG4" s="6">
        <v>27.075479999999999</v>
      </c>
      <c r="BH4" s="6">
        <v>0.56145699999999998</v>
      </c>
      <c r="BI4" s="6">
        <v>0.58730199999999999</v>
      </c>
      <c r="BJ4" s="6"/>
      <c r="BK4" s="6" t="s">
        <v>73</v>
      </c>
      <c r="BL4" s="6" t="s">
        <v>74</v>
      </c>
      <c r="BM4" s="6" t="s">
        <v>75</v>
      </c>
      <c r="BN4" s="6" t="s">
        <v>75</v>
      </c>
    </row>
    <row r="5" spans="1:80">
      <c r="A5" s="1" t="s">
        <v>78</v>
      </c>
      <c r="B5" s="1">
        <v>2022</v>
      </c>
      <c r="C5" s="1" t="s">
        <v>79</v>
      </c>
      <c r="D5" s="1">
        <v>20230481</v>
      </c>
      <c r="E5" s="1">
        <v>7299886</v>
      </c>
      <c r="F5" s="1">
        <v>18982654</v>
      </c>
      <c r="G5" s="1">
        <v>4501683</v>
      </c>
      <c r="H5" s="2">
        <f t="shared" si="0"/>
        <v>23484337</v>
      </c>
      <c r="I5" s="2">
        <f>H5+E5</f>
        <v>30784223</v>
      </c>
      <c r="J5" s="1">
        <v>29350967</v>
      </c>
      <c r="K5" s="2">
        <f t="shared" si="1"/>
        <v>51014704</v>
      </c>
      <c r="L5" s="1">
        <v>80365671</v>
      </c>
      <c r="M5" s="1">
        <v>16458562</v>
      </c>
      <c r="N5" s="1">
        <v>12078022</v>
      </c>
      <c r="O5" s="4">
        <f t="shared" si="2"/>
        <v>28536584</v>
      </c>
      <c r="P5" s="1">
        <v>24091768</v>
      </c>
      <c r="Q5" s="4">
        <f t="shared" si="3"/>
        <v>52628352</v>
      </c>
      <c r="R5" s="1">
        <v>18151730</v>
      </c>
      <c r="S5" s="1">
        <v>26310989</v>
      </c>
      <c r="T5" s="4">
        <f t="shared" si="4"/>
        <v>44462719</v>
      </c>
      <c r="U5" s="1">
        <v>97091071</v>
      </c>
      <c r="V5" s="1">
        <v>2022</v>
      </c>
      <c r="W5" s="8">
        <v>15141716</v>
      </c>
      <c r="X5" s="1">
        <v>0.81299999999999994</v>
      </c>
      <c r="Y5" s="1">
        <v>1</v>
      </c>
      <c r="Z5" s="1">
        <v>0</v>
      </c>
      <c r="AA5" s="1">
        <v>208200000</v>
      </c>
      <c r="AB5" s="1">
        <v>9.7168496637848226E-2</v>
      </c>
      <c r="AC5" s="1">
        <v>3.5061892411143131E-2</v>
      </c>
      <c r="AD5" s="1">
        <v>9.117509125840538E-2</v>
      </c>
      <c r="AE5" s="1">
        <v>2.1621916426512969E-2</v>
      </c>
      <c r="AF5" s="2">
        <f t="shared" si="5"/>
        <v>0.11279700768491835</v>
      </c>
      <c r="AG5" s="2">
        <f>AF5+AC5</f>
        <v>0.14785890009606148</v>
      </c>
      <c r="AH5" s="1">
        <v>0.1409748655139289</v>
      </c>
      <c r="AI5" s="2">
        <f t="shared" si="6"/>
        <v>0.24502739673390972</v>
      </c>
      <c r="AJ5" s="1">
        <v>7.9051690682036505E-2</v>
      </c>
      <c r="AK5" s="1">
        <v>5.8011633045148898E-2</v>
      </c>
      <c r="AL5" s="4">
        <f t="shared" si="7"/>
        <v>0.13706332372718541</v>
      </c>
      <c r="AM5" s="1">
        <v>0.1157145437079731</v>
      </c>
      <c r="AN5" s="4">
        <f t="shared" si="8"/>
        <v>0.25277786743515851</v>
      </c>
      <c r="AO5" s="1">
        <v>8.7184101825168114E-2</v>
      </c>
      <c r="AP5" s="1">
        <v>0.12637362632084534</v>
      </c>
      <c r="AQ5" s="4">
        <f t="shared" si="9"/>
        <v>0.21355772814601345</v>
      </c>
      <c r="AR5" s="1">
        <v>0.46633559558117194</v>
      </c>
      <c r="AS5" s="1">
        <v>0.38600226224783862</v>
      </c>
      <c r="AT5" s="1">
        <v>0.14766214217098939</v>
      </c>
      <c r="AU5" s="1">
        <f t="shared" si="10"/>
        <v>7.2726781940441881E-2</v>
      </c>
      <c r="AV5" s="1">
        <v>13</v>
      </c>
      <c r="AW5">
        <v>455</v>
      </c>
      <c r="AX5">
        <v>286</v>
      </c>
      <c r="AY5" s="6">
        <v>4</v>
      </c>
      <c r="AZ5" s="6">
        <v>2</v>
      </c>
      <c r="BA5" s="11">
        <f t="shared" si="11"/>
        <v>26.764705882352942</v>
      </c>
      <c r="BB5">
        <f t="shared" si="12"/>
        <v>16.823529411764707</v>
      </c>
      <c r="BC5">
        <f t="shared" si="13"/>
        <v>169</v>
      </c>
      <c r="BD5">
        <f t="shared" si="14"/>
        <v>9.9411764705882355</v>
      </c>
      <c r="BE5" s="10">
        <v>12.682087896112</v>
      </c>
      <c r="BF5" s="6">
        <v>27.067799999999998</v>
      </c>
      <c r="BG5" s="6">
        <v>27.66253</v>
      </c>
      <c r="BH5" s="6">
        <v>0.53284100000000001</v>
      </c>
      <c r="BI5" s="6">
        <v>0.62711899999999998</v>
      </c>
      <c r="BJ5" s="6"/>
      <c r="BK5" s="6" t="s">
        <v>80</v>
      </c>
      <c r="BL5" s="6" t="s">
        <v>74</v>
      </c>
      <c r="BM5" s="6" t="s">
        <v>81</v>
      </c>
      <c r="BN5" s="6" t="s">
        <v>75</v>
      </c>
    </row>
    <row r="6" spans="1:80">
      <c r="A6" s="1" t="s">
        <v>82</v>
      </c>
      <c r="B6" s="1">
        <v>2022</v>
      </c>
      <c r="C6" s="1" t="s">
        <v>83</v>
      </c>
      <c r="D6" s="1">
        <v>20461726</v>
      </c>
      <c r="E6" s="1">
        <v>3829960</v>
      </c>
      <c r="F6" s="1">
        <v>12882679</v>
      </c>
      <c r="G6" s="1">
        <v>5253310</v>
      </c>
      <c r="H6" s="2">
        <f t="shared" si="0"/>
        <v>18135989</v>
      </c>
      <c r="I6" s="2">
        <f>H6+E6</f>
        <v>21965949</v>
      </c>
      <c r="J6" s="1">
        <v>33291588</v>
      </c>
      <c r="K6" s="2">
        <f t="shared" si="1"/>
        <v>42427675</v>
      </c>
      <c r="L6" s="1">
        <v>75719263</v>
      </c>
      <c r="M6" s="1">
        <v>11405978</v>
      </c>
      <c r="N6" s="1">
        <v>9462303</v>
      </c>
      <c r="O6" s="4">
        <f t="shared" si="2"/>
        <v>20868281</v>
      </c>
      <c r="P6" s="1">
        <v>23312667</v>
      </c>
      <c r="Q6" s="4">
        <f t="shared" si="3"/>
        <v>44180948</v>
      </c>
      <c r="R6" s="1">
        <v>6802770</v>
      </c>
      <c r="S6" s="1">
        <v>16752502</v>
      </c>
      <c r="T6" s="4">
        <f t="shared" si="4"/>
        <v>23555272</v>
      </c>
      <c r="U6" s="1">
        <v>67736220</v>
      </c>
      <c r="V6" s="1">
        <v>2022</v>
      </c>
      <c r="W6" s="8">
        <v>19578244</v>
      </c>
      <c r="X6" s="1">
        <v>0.41199999999999998</v>
      </c>
      <c r="Y6" s="1">
        <v>0</v>
      </c>
      <c r="Z6" s="1">
        <v>0</v>
      </c>
      <c r="AA6" s="1">
        <v>208200000</v>
      </c>
      <c r="AB6" s="1">
        <v>9.827918347742555E-2</v>
      </c>
      <c r="AC6" s="1">
        <v>1.8395581171950049E-2</v>
      </c>
      <c r="AD6" s="1">
        <v>6.1876460134486069E-2</v>
      </c>
      <c r="AE6" s="1">
        <v>2.5232036503362153E-2</v>
      </c>
      <c r="AF6" s="2">
        <f t="shared" si="5"/>
        <v>8.7108496637848226E-2</v>
      </c>
      <c r="AG6" s="2">
        <f>AF6+AC6</f>
        <v>0.10550407780979827</v>
      </c>
      <c r="AH6" s="1">
        <v>0.15990195965417867</v>
      </c>
      <c r="AI6" s="2">
        <f t="shared" si="6"/>
        <v>0.20378326128722379</v>
      </c>
      <c r="AJ6" s="1">
        <v>5.4783756003842457E-2</v>
      </c>
      <c r="AK6" s="1">
        <v>4.5448141210374639E-2</v>
      </c>
      <c r="AL6" s="4">
        <f t="shared" si="7"/>
        <v>0.1002318972142171</v>
      </c>
      <c r="AM6" s="1">
        <v>0.11197246397694524</v>
      </c>
      <c r="AN6" s="4">
        <f t="shared" si="8"/>
        <v>0.21220436119116234</v>
      </c>
      <c r="AO6" s="1">
        <v>3.2674207492795392E-2</v>
      </c>
      <c r="AP6" s="1">
        <v>8.0463506243996161E-2</v>
      </c>
      <c r="AQ6" s="4">
        <f t="shared" si="9"/>
        <v>0.11313771373679155</v>
      </c>
      <c r="AR6" s="1">
        <v>0.32534207492795392</v>
      </c>
      <c r="AS6" s="1">
        <v>0.36368522094140249</v>
      </c>
      <c r="AT6" s="1">
        <v>0.3109727041306436</v>
      </c>
      <c r="AU6" s="1">
        <f t="shared" si="10"/>
        <v>9.4035754082612874E-2</v>
      </c>
      <c r="AV6" s="1">
        <v>7</v>
      </c>
      <c r="AW6">
        <v>347</v>
      </c>
      <c r="AX6">
        <v>374</v>
      </c>
      <c r="AY6" s="6">
        <v>20</v>
      </c>
      <c r="AZ6" s="6">
        <v>19</v>
      </c>
      <c r="BA6" s="11">
        <f t="shared" si="11"/>
        <v>20.411764705882351</v>
      </c>
      <c r="BB6">
        <f t="shared" si="12"/>
        <v>22</v>
      </c>
      <c r="BC6">
        <f t="shared" si="13"/>
        <v>-27</v>
      </c>
      <c r="BD6">
        <f t="shared" si="14"/>
        <v>-1.588235294117647</v>
      </c>
      <c r="BE6" s="10">
        <v>7.3244593302888301</v>
      </c>
      <c r="BF6" s="6">
        <v>26.05</v>
      </c>
      <c r="BG6" s="6">
        <v>26.233640000000001</v>
      </c>
      <c r="BH6" s="6">
        <v>0.53119300000000003</v>
      </c>
      <c r="BI6" s="6">
        <v>0.56666700000000003</v>
      </c>
      <c r="BJ6" s="6"/>
      <c r="BK6" s="6" t="s">
        <v>73</v>
      </c>
      <c r="BL6" s="6" t="s">
        <v>74</v>
      </c>
      <c r="BM6" s="6" t="s">
        <v>75</v>
      </c>
      <c r="BN6" s="6" t="s">
        <v>75</v>
      </c>
    </row>
    <row r="7" spans="1:80">
      <c r="A7" s="1" t="s">
        <v>84</v>
      </c>
      <c r="B7" s="1">
        <v>2022</v>
      </c>
      <c r="C7" s="1" t="s">
        <v>85</v>
      </c>
      <c r="D7" s="1">
        <v>6917413</v>
      </c>
      <c r="E7" s="1">
        <v>4900984</v>
      </c>
      <c r="F7" s="1">
        <v>11115639</v>
      </c>
      <c r="G7" s="1">
        <v>5756091</v>
      </c>
      <c r="H7" s="2">
        <f t="shared" si="0"/>
        <v>16871730</v>
      </c>
      <c r="I7" s="2">
        <f>H7+E7</f>
        <v>21772714</v>
      </c>
      <c r="J7" s="1">
        <v>27473483</v>
      </c>
      <c r="K7" s="2">
        <f t="shared" si="1"/>
        <v>28690127</v>
      </c>
      <c r="L7" s="1">
        <v>56163610</v>
      </c>
      <c r="M7" s="1">
        <v>11799311</v>
      </c>
      <c r="N7" s="1">
        <v>5649095</v>
      </c>
      <c r="O7" s="4">
        <f t="shared" si="2"/>
        <v>17448406</v>
      </c>
      <c r="P7" s="1">
        <v>6862834</v>
      </c>
      <c r="Q7" s="4">
        <f t="shared" si="3"/>
        <v>24311240</v>
      </c>
      <c r="R7" s="1">
        <v>20336001</v>
      </c>
      <c r="S7" s="1">
        <v>5518865</v>
      </c>
      <c r="T7" s="4">
        <f t="shared" si="4"/>
        <v>25854866</v>
      </c>
      <c r="U7" s="1">
        <v>50166106</v>
      </c>
      <c r="V7" s="1">
        <v>2022</v>
      </c>
      <c r="W7" s="8">
        <v>30646446</v>
      </c>
      <c r="X7" s="1">
        <v>0.17599999999999999</v>
      </c>
      <c r="Y7" s="1">
        <v>0</v>
      </c>
      <c r="Z7" s="1">
        <v>0</v>
      </c>
      <c r="AA7" s="1">
        <v>208200000</v>
      </c>
      <c r="AB7" s="1">
        <v>3.3224846301633047E-2</v>
      </c>
      <c r="AC7" s="1">
        <v>2.3539788664745438E-2</v>
      </c>
      <c r="AD7" s="1">
        <v>5.3389236311239194E-2</v>
      </c>
      <c r="AE7" s="1">
        <v>2.764693083573487E-2</v>
      </c>
      <c r="AF7" s="2">
        <f t="shared" si="5"/>
        <v>8.1036167146974064E-2</v>
      </c>
      <c r="AG7" s="2">
        <f>AF7+AC7</f>
        <v>0.1045759558117195</v>
      </c>
      <c r="AH7" s="1">
        <v>0.13195717098943324</v>
      </c>
      <c r="AI7" s="2">
        <f t="shared" si="6"/>
        <v>0.13780080211335255</v>
      </c>
      <c r="AJ7" s="1">
        <v>5.6672963496637849E-2</v>
      </c>
      <c r="AK7" s="1">
        <v>2.7133021133525455E-2</v>
      </c>
      <c r="AL7" s="4">
        <f t="shared" si="7"/>
        <v>8.380598463016331E-2</v>
      </c>
      <c r="AM7" s="1">
        <v>3.2962699327569643E-2</v>
      </c>
      <c r="AN7" s="4">
        <f t="shared" si="8"/>
        <v>0.11676868395773296</v>
      </c>
      <c r="AO7" s="1">
        <v>9.7675317002881845E-2</v>
      </c>
      <c r="AP7" s="1">
        <v>2.6507516810758885E-2</v>
      </c>
      <c r="AQ7" s="4">
        <f t="shared" si="9"/>
        <v>0.12418283381364073</v>
      </c>
      <c r="AR7" s="1">
        <v>0.24095151777137369</v>
      </c>
      <c r="AS7" s="1">
        <v>0.26975797310278576</v>
      </c>
      <c r="AT7" s="1">
        <v>0.4892905091258406</v>
      </c>
      <c r="AU7" s="1">
        <f t="shared" si="10"/>
        <v>0.14719714697406341</v>
      </c>
      <c r="AV7" s="1">
        <v>3</v>
      </c>
      <c r="AW7">
        <v>326</v>
      </c>
      <c r="AX7">
        <v>463</v>
      </c>
      <c r="AY7" s="6">
        <v>23</v>
      </c>
      <c r="AZ7" s="6">
        <v>32</v>
      </c>
      <c r="BA7" s="11">
        <f t="shared" si="11"/>
        <v>19.176470588235293</v>
      </c>
      <c r="BB7">
        <f t="shared" si="12"/>
        <v>27.235294117647058</v>
      </c>
      <c r="BC7">
        <f t="shared" si="13"/>
        <v>-137</v>
      </c>
      <c r="BD7">
        <f t="shared" si="14"/>
        <v>-8.0588235294117645</v>
      </c>
      <c r="BE7" s="10">
        <v>4.3176269721320804</v>
      </c>
      <c r="BF7" s="6">
        <v>26.14706</v>
      </c>
      <c r="BG7" s="6">
        <v>27.382390000000001</v>
      </c>
      <c r="BH7" s="6">
        <v>0.54669699999999999</v>
      </c>
      <c r="BI7" s="6">
        <v>0.235294</v>
      </c>
      <c r="BJ7" s="6"/>
      <c r="BK7" s="6" t="s">
        <v>73</v>
      </c>
      <c r="BL7" s="6" t="s">
        <v>74</v>
      </c>
      <c r="BM7" s="6" t="s">
        <v>75</v>
      </c>
      <c r="BN7" s="6" t="s">
        <v>75</v>
      </c>
    </row>
    <row r="8" spans="1:80">
      <c r="A8" s="1" t="s">
        <v>86</v>
      </c>
      <c r="B8" s="1">
        <v>2022</v>
      </c>
      <c r="C8" s="1" t="s">
        <v>87</v>
      </c>
      <c r="D8" s="1">
        <v>11332371</v>
      </c>
      <c r="E8" s="1">
        <v>15533810</v>
      </c>
      <c r="F8" s="1">
        <v>22298088</v>
      </c>
      <c r="G8" s="1">
        <v>7324969</v>
      </c>
      <c r="H8" s="2">
        <f t="shared" si="0"/>
        <v>29623057</v>
      </c>
      <c r="I8" s="2">
        <f>H8+E8</f>
        <v>45156867</v>
      </c>
      <c r="J8" s="1">
        <v>30652020</v>
      </c>
      <c r="K8" s="2">
        <f t="shared" si="1"/>
        <v>56489238</v>
      </c>
      <c r="L8" s="1">
        <v>87141258</v>
      </c>
      <c r="M8" s="1">
        <v>25457899</v>
      </c>
      <c r="N8" s="1">
        <v>24666921</v>
      </c>
      <c r="O8" s="4">
        <f t="shared" si="2"/>
        <v>50124820</v>
      </c>
      <c r="P8" s="1">
        <v>7997820</v>
      </c>
      <c r="Q8" s="4">
        <f t="shared" si="3"/>
        <v>58122640</v>
      </c>
      <c r="R8" s="1">
        <v>26928297</v>
      </c>
      <c r="S8" s="1">
        <v>20293823</v>
      </c>
      <c r="T8" s="4">
        <f t="shared" si="4"/>
        <v>47222120</v>
      </c>
      <c r="U8" s="1">
        <v>105344760</v>
      </c>
      <c r="V8" s="1">
        <v>2022</v>
      </c>
      <c r="W8" s="8">
        <v>16929797</v>
      </c>
      <c r="X8" s="1">
        <v>0.75</v>
      </c>
      <c r="Y8" s="1">
        <v>1</v>
      </c>
      <c r="Z8" s="1">
        <v>0</v>
      </c>
      <c r="AA8" s="1">
        <v>208200000</v>
      </c>
      <c r="AB8" s="1">
        <v>5.4430216138328533E-2</v>
      </c>
      <c r="AC8" s="1">
        <v>7.461003842459174E-2</v>
      </c>
      <c r="AD8" s="1">
        <v>0.10709936599423631</v>
      </c>
      <c r="AE8" s="1">
        <v>3.5182367915465897E-2</v>
      </c>
      <c r="AF8" s="2">
        <f t="shared" si="5"/>
        <v>0.1422817339097022</v>
      </c>
      <c r="AG8" s="2">
        <f>AF8+AC8</f>
        <v>0.21689177233429394</v>
      </c>
      <c r="AH8" s="1">
        <v>0.14722391930835735</v>
      </c>
      <c r="AI8" s="2">
        <f t="shared" si="6"/>
        <v>0.27132198847262251</v>
      </c>
      <c r="AJ8" s="1">
        <v>0.12227617195004803</v>
      </c>
      <c r="AK8" s="1">
        <v>0.11847704610951008</v>
      </c>
      <c r="AL8" s="4">
        <f t="shared" si="7"/>
        <v>0.24075321805955813</v>
      </c>
      <c r="AM8" s="1">
        <v>3.8414121037463979E-2</v>
      </c>
      <c r="AN8" s="4">
        <f t="shared" si="8"/>
        <v>0.27916733909702213</v>
      </c>
      <c r="AO8" s="1">
        <v>0.1293386023054755</v>
      </c>
      <c r="AP8" s="1">
        <v>9.7472732949087412E-2</v>
      </c>
      <c r="AQ8" s="4">
        <f t="shared" si="9"/>
        <v>0.22681133525456293</v>
      </c>
      <c r="AR8" s="1">
        <v>0.50597867435158506</v>
      </c>
      <c r="AS8" s="1">
        <v>0.41854590778097983</v>
      </c>
      <c r="AT8" s="1">
        <v>7.5475417867435057E-2</v>
      </c>
      <c r="AU8" s="1">
        <f t="shared" si="10"/>
        <v>8.1315067243035541E-2</v>
      </c>
      <c r="AV8" s="1">
        <v>12</v>
      </c>
      <c r="AW8">
        <v>418</v>
      </c>
      <c r="AX8">
        <v>322</v>
      </c>
      <c r="AY8" s="6">
        <v>8</v>
      </c>
      <c r="AZ8" s="6">
        <v>5</v>
      </c>
      <c r="BA8" s="11">
        <f t="shared" si="11"/>
        <v>24.588235294117649</v>
      </c>
      <c r="BB8">
        <f t="shared" si="12"/>
        <v>18.941176470588236</v>
      </c>
      <c r="BC8">
        <f t="shared" si="13"/>
        <v>96</v>
      </c>
      <c r="BD8">
        <f t="shared" si="14"/>
        <v>5.6470588235294121</v>
      </c>
      <c r="BE8" s="10">
        <v>10.6866446038173</v>
      </c>
      <c r="BF8" s="6">
        <v>25.754100000000001</v>
      </c>
      <c r="BG8" s="6">
        <v>26.542369999999998</v>
      </c>
      <c r="BH8" s="6">
        <v>0.55731699999999995</v>
      </c>
      <c r="BI8" s="6">
        <v>0.68852500000000005</v>
      </c>
      <c r="BJ8" s="6"/>
      <c r="BK8" s="6" t="s">
        <v>73</v>
      </c>
      <c r="BL8" s="6" t="s">
        <v>74</v>
      </c>
      <c r="BM8" s="6" t="s">
        <v>75</v>
      </c>
      <c r="BN8" s="6" t="s">
        <v>75</v>
      </c>
    </row>
    <row r="9" spans="1:80">
      <c r="A9" s="1" t="s">
        <v>88</v>
      </c>
      <c r="B9" s="1">
        <v>2022</v>
      </c>
      <c r="C9" s="1" t="s">
        <v>89</v>
      </c>
      <c r="D9" s="1">
        <v>14942928</v>
      </c>
      <c r="E9" s="1">
        <v>14503104</v>
      </c>
      <c r="F9" s="1">
        <v>11614046</v>
      </c>
      <c r="G9" s="1">
        <v>6171535</v>
      </c>
      <c r="H9" s="2">
        <f t="shared" si="0"/>
        <v>17785581</v>
      </c>
      <c r="I9" s="2">
        <f>H9+E9</f>
        <v>32288685</v>
      </c>
      <c r="J9" s="1">
        <v>37805257</v>
      </c>
      <c r="K9" s="2">
        <f t="shared" si="1"/>
        <v>47231613</v>
      </c>
      <c r="L9" s="1">
        <v>85036870</v>
      </c>
      <c r="M9" s="1">
        <v>9433318</v>
      </c>
      <c r="N9" s="1">
        <v>19071235</v>
      </c>
      <c r="O9" s="4">
        <f t="shared" si="2"/>
        <v>28504553</v>
      </c>
      <c r="P9" s="1">
        <v>9826334</v>
      </c>
      <c r="Q9" s="4">
        <f t="shared" si="3"/>
        <v>38330887</v>
      </c>
      <c r="R9" s="1">
        <v>11808926</v>
      </c>
      <c r="S9" s="1">
        <v>12414924</v>
      </c>
      <c r="T9" s="4">
        <f t="shared" si="4"/>
        <v>24223850</v>
      </c>
      <c r="U9" s="1">
        <v>62554737</v>
      </c>
      <c r="V9" s="1">
        <v>2022</v>
      </c>
      <c r="W9" s="8">
        <v>16565851</v>
      </c>
      <c r="X9" s="1">
        <v>0.41199999999999998</v>
      </c>
      <c r="Y9" s="1">
        <v>0</v>
      </c>
      <c r="Z9" s="1">
        <v>0</v>
      </c>
      <c r="AA9" s="1">
        <v>208200000</v>
      </c>
      <c r="AB9" s="1">
        <v>7.1771988472622478E-2</v>
      </c>
      <c r="AC9" s="1">
        <v>6.9659481268011525E-2</v>
      </c>
      <c r="AD9" s="1">
        <v>5.578312199807877E-2</v>
      </c>
      <c r="AE9" s="1">
        <v>2.9642339097022095E-2</v>
      </c>
      <c r="AF9" s="2">
        <f t="shared" si="5"/>
        <v>8.5425461095100866E-2</v>
      </c>
      <c r="AG9" s="2">
        <f>AF9+AC9</f>
        <v>0.15508494236311238</v>
      </c>
      <c r="AH9" s="1">
        <v>0.18158144572526416</v>
      </c>
      <c r="AI9" s="2">
        <f t="shared" si="6"/>
        <v>0.22685693083573488</v>
      </c>
      <c r="AJ9" s="1">
        <v>4.5308924111431316E-2</v>
      </c>
      <c r="AK9" s="1">
        <v>9.160055235350624E-2</v>
      </c>
      <c r="AL9" s="4">
        <f t="shared" si="7"/>
        <v>0.13690947646493756</v>
      </c>
      <c r="AM9" s="1">
        <v>4.7196609029779062E-2</v>
      </c>
      <c r="AN9" s="4">
        <f t="shared" si="8"/>
        <v>0.18410608549471663</v>
      </c>
      <c r="AO9" s="1">
        <v>5.6719145052833812E-2</v>
      </c>
      <c r="AP9" s="1">
        <v>5.9629798270893375E-2</v>
      </c>
      <c r="AQ9" s="4">
        <f t="shared" si="9"/>
        <v>0.11634894332372719</v>
      </c>
      <c r="AR9" s="1">
        <v>0.30045502881844383</v>
      </c>
      <c r="AS9" s="1">
        <v>0.40843837656099902</v>
      </c>
      <c r="AT9" s="1">
        <v>0.2911065946205571</v>
      </c>
      <c r="AU9" s="1">
        <f t="shared" si="10"/>
        <v>7.9567007684918353E-2</v>
      </c>
      <c r="AV9" s="1">
        <v>7</v>
      </c>
      <c r="AW9">
        <v>361</v>
      </c>
      <c r="AX9">
        <v>381</v>
      </c>
      <c r="AY9" s="6">
        <v>18</v>
      </c>
      <c r="AZ9" s="6">
        <v>20</v>
      </c>
      <c r="BA9" s="11">
        <f t="shared" si="11"/>
        <v>21.235294117647058</v>
      </c>
      <c r="BB9">
        <f t="shared" si="12"/>
        <v>22.411764705882351</v>
      </c>
      <c r="BC9">
        <f t="shared" si="13"/>
        <v>-20</v>
      </c>
      <c r="BD9">
        <f t="shared" si="14"/>
        <v>-1.1764705882352942</v>
      </c>
      <c r="BE9" s="10">
        <v>7.5158032076894496</v>
      </c>
      <c r="BF9" s="6">
        <v>25.60294</v>
      </c>
      <c r="BG9" s="6">
        <v>26.56148</v>
      </c>
      <c r="BH9" s="6">
        <v>0.52715400000000001</v>
      </c>
      <c r="BI9" s="6">
        <v>0.5</v>
      </c>
      <c r="BJ9" s="6"/>
      <c r="BK9" s="6" t="s">
        <v>73</v>
      </c>
      <c r="BL9" s="6" t="s">
        <v>74</v>
      </c>
      <c r="BM9" s="6" t="s">
        <v>75</v>
      </c>
      <c r="BN9" s="6" t="s">
        <v>75</v>
      </c>
    </row>
    <row r="10" spans="1:80">
      <c r="A10" s="1" t="s">
        <v>90</v>
      </c>
      <c r="B10" s="1">
        <v>2022</v>
      </c>
      <c r="C10" s="1" t="s">
        <v>91</v>
      </c>
      <c r="D10" s="1">
        <v>21325834</v>
      </c>
      <c r="E10" s="1">
        <v>20945082</v>
      </c>
      <c r="F10" s="1">
        <v>13438525</v>
      </c>
      <c r="G10" s="1">
        <v>13499164</v>
      </c>
      <c r="H10" s="2">
        <f t="shared" si="0"/>
        <v>26937689</v>
      </c>
      <c r="I10" s="2">
        <f>H10+E10</f>
        <v>47882771</v>
      </c>
      <c r="J10" s="1">
        <v>41380342</v>
      </c>
      <c r="K10" s="2">
        <f t="shared" si="1"/>
        <v>69208605</v>
      </c>
      <c r="L10" s="1">
        <v>110588947</v>
      </c>
      <c r="M10" s="1">
        <v>8309513</v>
      </c>
      <c r="N10" s="1">
        <v>19438110</v>
      </c>
      <c r="O10" s="4">
        <f t="shared" si="2"/>
        <v>27747623</v>
      </c>
      <c r="P10" s="1">
        <v>11775184</v>
      </c>
      <c r="Q10" s="4">
        <f t="shared" si="3"/>
        <v>39522807</v>
      </c>
      <c r="R10" s="1">
        <v>9347479</v>
      </c>
      <c r="S10" s="1">
        <v>18798262</v>
      </c>
      <c r="T10" s="4">
        <f t="shared" si="4"/>
        <v>28145741</v>
      </c>
      <c r="U10" s="1">
        <v>67668548</v>
      </c>
      <c r="V10" s="1">
        <v>2022</v>
      </c>
      <c r="W10" s="8">
        <v>18688275</v>
      </c>
      <c r="X10" s="1">
        <v>0.70599999999999996</v>
      </c>
      <c r="Y10" s="1">
        <v>1</v>
      </c>
      <c r="Z10" s="1">
        <v>0</v>
      </c>
      <c r="AA10" s="1">
        <v>208200000</v>
      </c>
      <c r="AB10" s="1">
        <v>0.10242955811719501</v>
      </c>
      <c r="AC10" s="1">
        <v>0.10060077809798271</v>
      </c>
      <c r="AD10" s="1">
        <v>6.4546229586935636E-2</v>
      </c>
      <c r="AE10" s="1">
        <v>6.483748318924111E-2</v>
      </c>
      <c r="AF10" s="2">
        <f t="shared" si="5"/>
        <v>0.12938371277617675</v>
      </c>
      <c r="AG10" s="2">
        <f>AF10+AC10</f>
        <v>0.22998449087415945</v>
      </c>
      <c r="AH10" s="1">
        <v>0.19875284341978866</v>
      </c>
      <c r="AI10" s="2">
        <f t="shared" si="6"/>
        <v>0.33241404899135446</v>
      </c>
      <c r="AJ10" s="1">
        <v>3.99112055715658E-2</v>
      </c>
      <c r="AK10" s="1">
        <v>9.336268011527378E-2</v>
      </c>
      <c r="AL10" s="4">
        <f t="shared" si="7"/>
        <v>0.13327388568683957</v>
      </c>
      <c r="AM10" s="1">
        <v>5.6557079731027859E-2</v>
      </c>
      <c r="AN10" s="4">
        <f t="shared" si="8"/>
        <v>0.18983096541786743</v>
      </c>
      <c r="AO10" s="1">
        <v>4.4896633045148897E-2</v>
      </c>
      <c r="AP10" s="1">
        <v>9.028944284341979E-2</v>
      </c>
      <c r="AQ10" s="4">
        <f t="shared" si="9"/>
        <v>0.13518607588856868</v>
      </c>
      <c r="AR10" s="1">
        <v>0.32501704130643611</v>
      </c>
      <c r="AS10" s="1">
        <v>0.53116689241114312</v>
      </c>
      <c r="AT10" s="1">
        <v>0.14381606628242083</v>
      </c>
      <c r="AU10" s="1">
        <f t="shared" si="10"/>
        <v>8.9761167146974061E-2</v>
      </c>
      <c r="AV10" s="1">
        <v>12</v>
      </c>
      <c r="AW10">
        <v>467</v>
      </c>
      <c r="AX10">
        <v>342</v>
      </c>
      <c r="AY10" s="6">
        <v>3</v>
      </c>
      <c r="AZ10" s="6">
        <v>6</v>
      </c>
      <c r="BA10" s="11">
        <f t="shared" si="11"/>
        <v>27.470588235294116</v>
      </c>
      <c r="BB10">
        <f t="shared" si="12"/>
        <v>20.117647058823529</v>
      </c>
      <c r="BC10">
        <f t="shared" si="13"/>
        <v>125</v>
      </c>
      <c r="BD10">
        <f t="shared" si="14"/>
        <v>7.3529411764705879</v>
      </c>
      <c r="BE10" s="10">
        <v>11.4793549523846</v>
      </c>
      <c r="BF10" s="6">
        <v>26.35294</v>
      </c>
      <c r="BG10" s="6">
        <v>27.906410000000001</v>
      </c>
      <c r="BH10" s="6">
        <v>0.61593500000000001</v>
      </c>
      <c r="BI10" s="6">
        <v>0.61764699999999995</v>
      </c>
      <c r="BJ10" s="6"/>
      <c r="BK10" s="6" t="s">
        <v>80</v>
      </c>
      <c r="BL10" s="6" t="s">
        <v>68</v>
      </c>
      <c r="BM10" s="6" t="s">
        <v>92</v>
      </c>
      <c r="BN10" s="6" t="s">
        <v>93</v>
      </c>
    </row>
    <row r="11" spans="1:80">
      <c r="A11" s="1" t="s">
        <v>94</v>
      </c>
      <c r="B11" s="1">
        <v>2022</v>
      </c>
      <c r="C11" s="1" t="s">
        <v>95</v>
      </c>
      <c r="D11" s="1">
        <v>18082500</v>
      </c>
      <c r="E11" s="1">
        <v>6405499</v>
      </c>
      <c r="F11" s="1">
        <v>19436070</v>
      </c>
      <c r="G11" s="1">
        <v>5262023</v>
      </c>
      <c r="H11" s="2">
        <f t="shared" si="0"/>
        <v>24698093</v>
      </c>
      <c r="I11" s="2">
        <f>H11+E11</f>
        <v>31103592</v>
      </c>
      <c r="J11" s="1">
        <v>43074703</v>
      </c>
      <c r="K11" s="2">
        <f t="shared" si="1"/>
        <v>49186092</v>
      </c>
      <c r="L11" s="1">
        <v>92260795</v>
      </c>
      <c r="M11" s="1">
        <v>13772100</v>
      </c>
      <c r="N11" s="1">
        <v>10635344</v>
      </c>
      <c r="O11" s="4">
        <f t="shared" si="2"/>
        <v>24407444</v>
      </c>
      <c r="P11" s="1">
        <v>6989055</v>
      </c>
      <c r="Q11" s="4">
        <f t="shared" si="3"/>
        <v>31396499</v>
      </c>
      <c r="R11" s="1">
        <v>23249297</v>
      </c>
      <c r="S11" s="1">
        <v>22834821</v>
      </c>
      <c r="T11" s="4">
        <f t="shared" si="4"/>
        <v>46084118</v>
      </c>
      <c r="U11" s="1">
        <v>77480617</v>
      </c>
      <c r="V11" s="1">
        <v>2022</v>
      </c>
      <c r="W11" s="8">
        <v>67116043</v>
      </c>
      <c r="X11" s="1">
        <v>0.29399999999999998</v>
      </c>
      <c r="Y11" s="1">
        <v>0</v>
      </c>
      <c r="Z11" s="1">
        <v>0</v>
      </c>
      <c r="AA11" s="1">
        <v>208200000</v>
      </c>
      <c r="AB11" s="1">
        <v>8.6851585014409219E-2</v>
      </c>
      <c r="AC11" s="1">
        <v>3.0766085494716617E-2</v>
      </c>
      <c r="AD11" s="1">
        <v>9.3352881844380398E-2</v>
      </c>
      <c r="AE11" s="1">
        <v>2.5273885686839578E-2</v>
      </c>
      <c r="AF11" s="2">
        <f t="shared" si="5"/>
        <v>0.11862676753121998</v>
      </c>
      <c r="AG11" s="2">
        <f>AF11+AC11</f>
        <v>0.14939285302593661</v>
      </c>
      <c r="AH11" s="1">
        <v>0.20689098463016331</v>
      </c>
      <c r="AI11" s="2">
        <f t="shared" si="6"/>
        <v>0.23624443804034581</v>
      </c>
      <c r="AJ11" s="1">
        <v>6.6148414985590778E-2</v>
      </c>
      <c r="AK11" s="1">
        <v>5.1082343900096062E-2</v>
      </c>
      <c r="AL11" s="4">
        <f t="shared" si="7"/>
        <v>0.11723075888568685</v>
      </c>
      <c r="AM11" s="1">
        <v>3.3568948126801154E-2</v>
      </c>
      <c r="AN11" s="4">
        <f t="shared" si="8"/>
        <v>0.15079970701248802</v>
      </c>
      <c r="AO11" s="1">
        <v>0.11166809317963497</v>
      </c>
      <c r="AP11" s="1">
        <v>0.10967733429394813</v>
      </c>
      <c r="AQ11" s="4">
        <f t="shared" si="9"/>
        <v>0.2213454274735831</v>
      </c>
      <c r="AR11" s="1">
        <v>0.37214513448607106</v>
      </c>
      <c r="AS11" s="1">
        <v>0.44313542267050915</v>
      </c>
      <c r="AT11" s="1">
        <v>0.18471944284341979</v>
      </c>
      <c r="AU11" s="1">
        <f t="shared" si="10"/>
        <v>0.32236331892411141</v>
      </c>
      <c r="AV11" s="1">
        <v>5</v>
      </c>
      <c r="AW11">
        <v>287</v>
      </c>
      <c r="AX11">
        <v>359</v>
      </c>
      <c r="AY11" s="6">
        <v>32</v>
      </c>
      <c r="AZ11" s="6">
        <v>14</v>
      </c>
      <c r="BA11" s="11">
        <f t="shared" si="11"/>
        <v>16.882352941176471</v>
      </c>
      <c r="BB11">
        <f t="shared" si="12"/>
        <v>21.117647058823529</v>
      </c>
      <c r="BC11">
        <f t="shared" si="13"/>
        <v>-72</v>
      </c>
      <c r="BD11">
        <f t="shared" si="14"/>
        <v>-4.2352941176470589</v>
      </c>
      <c r="BE11" s="10">
        <v>6.0943915471319299</v>
      </c>
      <c r="BF11" s="6">
        <v>26.289470000000001</v>
      </c>
      <c r="BG11" s="6">
        <v>28.3889</v>
      </c>
      <c r="BH11" s="6">
        <v>0.62760400000000005</v>
      </c>
      <c r="BI11" s="6">
        <v>0.47368399999999999</v>
      </c>
      <c r="BJ11" s="6"/>
      <c r="BK11" s="6" t="s">
        <v>67</v>
      </c>
      <c r="BL11" s="6" t="s">
        <v>96</v>
      </c>
      <c r="BM11" s="6" t="s">
        <v>70</v>
      </c>
      <c r="BN11" s="6" t="s">
        <v>70</v>
      </c>
    </row>
    <row r="12" spans="1:80">
      <c r="A12" s="1" t="s">
        <v>97</v>
      </c>
      <c r="B12" s="1">
        <v>2022</v>
      </c>
      <c r="C12" s="1" t="s">
        <v>98</v>
      </c>
      <c r="D12" s="1">
        <v>32219500</v>
      </c>
      <c r="E12" s="1">
        <v>9162629</v>
      </c>
      <c r="F12" s="1">
        <v>14045393</v>
      </c>
      <c r="G12" s="1">
        <v>2328750</v>
      </c>
      <c r="H12" s="2">
        <f t="shared" si="0"/>
        <v>16374143</v>
      </c>
      <c r="I12" s="2">
        <f>H12+E12</f>
        <v>25536772</v>
      </c>
      <c r="J12" s="1">
        <v>41941085</v>
      </c>
      <c r="K12" s="2">
        <f t="shared" si="1"/>
        <v>57756272</v>
      </c>
      <c r="L12" s="1">
        <v>99697357</v>
      </c>
      <c r="M12" s="1">
        <v>12747744</v>
      </c>
      <c r="N12" s="1">
        <v>28277728</v>
      </c>
      <c r="O12" s="4">
        <f t="shared" si="2"/>
        <v>41025472</v>
      </c>
      <c r="P12" s="1">
        <v>8275184</v>
      </c>
      <c r="Q12" s="4">
        <f t="shared" si="3"/>
        <v>49300656</v>
      </c>
      <c r="R12" s="1">
        <v>8925370</v>
      </c>
      <c r="S12" s="1">
        <v>18071989</v>
      </c>
      <c r="T12" s="4">
        <f t="shared" si="4"/>
        <v>26997359</v>
      </c>
      <c r="U12" s="1">
        <v>76298015</v>
      </c>
      <c r="V12" s="1">
        <v>2022</v>
      </c>
      <c r="W12" s="8">
        <v>20522793</v>
      </c>
      <c r="X12" s="1">
        <v>0.52900000000000003</v>
      </c>
      <c r="Y12" s="1">
        <v>0</v>
      </c>
      <c r="Z12" s="1">
        <v>0</v>
      </c>
      <c r="AA12" s="1">
        <v>208200000</v>
      </c>
      <c r="AB12" s="1">
        <v>0.15475264169068204</v>
      </c>
      <c r="AC12" s="1">
        <v>4.4008784822286262E-2</v>
      </c>
      <c r="AD12" s="1">
        <v>6.7461061479346787E-2</v>
      </c>
      <c r="AE12" s="1">
        <v>1.1185158501440922E-2</v>
      </c>
      <c r="AF12" s="2">
        <f t="shared" si="5"/>
        <v>7.8646219980787704E-2</v>
      </c>
      <c r="AG12" s="2">
        <f>AF12+AC12</f>
        <v>0.12265500480307397</v>
      </c>
      <c r="AH12" s="1">
        <v>0.20144613352545629</v>
      </c>
      <c r="AI12" s="2">
        <f t="shared" si="6"/>
        <v>0.27740764649375599</v>
      </c>
      <c r="AJ12" s="1">
        <v>6.1228357348703168E-2</v>
      </c>
      <c r="AK12" s="1">
        <v>0.13582001921229586</v>
      </c>
      <c r="AL12" s="4">
        <f t="shared" si="7"/>
        <v>0.19704837656099902</v>
      </c>
      <c r="AM12" s="1">
        <v>3.9746320845341021E-2</v>
      </c>
      <c r="AN12" s="4">
        <f t="shared" si="8"/>
        <v>0.23679469740634004</v>
      </c>
      <c r="AO12" s="1">
        <v>4.2869212295869354E-2</v>
      </c>
      <c r="AP12" s="1">
        <v>8.6801099903938514E-2</v>
      </c>
      <c r="AQ12" s="4">
        <f t="shared" si="9"/>
        <v>0.12967031219980787</v>
      </c>
      <c r="AR12" s="1">
        <v>0.36646500960614792</v>
      </c>
      <c r="AS12" s="1">
        <v>0.47885378001921231</v>
      </c>
      <c r="AT12" s="1">
        <v>0.15468121037463978</v>
      </c>
      <c r="AU12" s="1">
        <f t="shared" si="10"/>
        <v>9.8572492795389044E-2</v>
      </c>
      <c r="AV12" s="1">
        <v>9</v>
      </c>
      <c r="AW12">
        <v>453</v>
      </c>
      <c r="AX12">
        <v>427</v>
      </c>
      <c r="AY12" s="6">
        <v>5</v>
      </c>
      <c r="AZ12" s="6">
        <v>28</v>
      </c>
      <c r="BA12" s="11">
        <f t="shared" si="11"/>
        <v>26.647058823529413</v>
      </c>
      <c r="BB12">
        <f t="shared" si="12"/>
        <v>25.117647058823529</v>
      </c>
      <c r="BC12">
        <f t="shared" si="13"/>
        <v>26</v>
      </c>
      <c r="BD12">
        <f t="shared" si="14"/>
        <v>1.5294117647058822</v>
      </c>
      <c r="BE12" s="10">
        <v>8.7732058302758507</v>
      </c>
      <c r="BF12" s="6">
        <v>25.454550000000001</v>
      </c>
      <c r="BG12" s="6">
        <v>26.382370000000002</v>
      </c>
      <c r="BH12" s="6">
        <v>0.59722600000000003</v>
      </c>
      <c r="BI12" s="6">
        <v>0.65151499999999996</v>
      </c>
      <c r="BJ12" s="6"/>
      <c r="BK12" s="6" t="s">
        <v>73</v>
      </c>
      <c r="BL12" s="6" t="s">
        <v>68</v>
      </c>
      <c r="BM12" s="6" t="s">
        <v>99</v>
      </c>
      <c r="BN12" s="6" t="s">
        <v>93</v>
      </c>
    </row>
    <row r="13" spans="1:80">
      <c r="A13" s="1" t="s">
        <v>100</v>
      </c>
      <c r="B13" s="1">
        <v>2022</v>
      </c>
      <c r="C13" s="1" t="s">
        <v>101</v>
      </c>
      <c r="D13" s="1">
        <v>32117878</v>
      </c>
      <c r="E13" s="1">
        <v>7807590</v>
      </c>
      <c r="F13" s="1">
        <v>12102936</v>
      </c>
      <c r="G13" s="1">
        <v>9967867</v>
      </c>
      <c r="H13" s="2">
        <f>SUM(F13:G13)</f>
        <v>22070803</v>
      </c>
      <c r="I13" s="2">
        <f>H13+E13</f>
        <v>29878393</v>
      </c>
      <c r="J13" s="1">
        <v>31221736</v>
      </c>
      <c r="K13" s="2">
        <f>SUM(D13:G13)</f>
        <v>61996271</v>
      </c>
      <c r="L13" s="1">
        <v>93218007</v>
      </c>
      <c r="M13" s="1">
        <v>22816924</v>
      </c>
      <c r="N13" s="1">
        <v>18660198</v>
      </c>
      <c r="O13" s="4">
        <f>SUM(M13:N13)</f>
        <v>41477122</v>
      </c>
      <c r="P13" s="1">
        <v>9700624</v>
      </c>
      <c r="Q13" s="4">
        <f>SUM(O13:P13)</f>
        <v>51177746</v>
      </c>
      <c r="R13" s="1">
        <v>15340635</v>
      </c>
      <c r="S13" s="1">
        <v>15826881</v>
      </c>
      <c r="T13" s="4">
        <f>SUM(R13:S13)</f>
        <v>31167516</v>
      </c>
      <c r="U13" s="1">
        <v>82345262</v>
      </c>
      <c r="V13" s="1">
        <v>2022</v>
      </c>
      <c r="W13" s="8">
        <v>16455765</v>
      </c>
      <c r="X13" s="1">
        <v>0.47099999999999997</v>
      </c>
      <c r="Y13" s="1">
        <v>0</v>
      </c>
      <c r="Z13" s="1">
        <v>0</v>
      </c>
      <c r="AA13" s="1">
        <v>208200000</v>
      </c>
      <c r="AB13" s="1">
        <v>0.1542645437079731</v>
      </c>
      <c r="AC13" s="1">
        <v>3.7500432276657059E-2</v>
      </c>
      <c r="AD13" s="1">
        <v>5.8131296829971181E-2</v>
      </c>
      <c r="AE13" s="1">
        <v>4.7876402497598461E-2</v>
      </c>
      <c r="AF13" s="2">
        <f>SUM(AD13:AE13)</f>
        <v>0.10600769932756965</v>
      </c>
      <c r="AG13" s="2">
        <f>AF13+AC13</f>
        <v>0.14350813160422671</v>
      </c>
      <c r="AH13" s="1">
        <v>0.14996030739673391</v>
      </c>
      <c r="AI13" s="2">
        <f>SUM(AB13:AE13)</f>
        <v>0.29777267531219981</v>
      </c>
      <c r="AJ13" s="1">
        <v>0.10959137367915465</v>
      </c>
      <c r="AK13" s="1">
        <v>8.9626311239193082E-2</v>
      </c>
      <c r="AL13" s="4">
        <f>SUM(AJ13:AK13)</f>
        <v>0.19921768491834774</v>
      </c>
      <c r="AM13" s="1">
        <v>4.6592814601344859E-2</v>
      </c>
      <c r="AN13" s="4">
        <f>SUM(AL13:AM13)</f>
        <v>0.24581049951969258</v>
      </c>
      <c r="AO13" s="1">
        <v>7.3682204610951013E-2</v>
      </c>
      <c r="AP13" s="1">
        <v>7.6017680115273781E-2</v>
      </c>
      <c r="AQ13" s="4">
        <f>SUM(AO13:AP13)</f>
        <v>0.14969988472622481</v>
      </c>
      <c r="AR13" s="1">
        <v>0.39551038424591739</v>
      </c>
      <c r="AS13" s="1">
        <v>0.44773298270893369</v>
      </c>
      <c r="AT13" s="1">
        <v>0.15675663304514886</v>
      </c>
      <c r="AU13" s="1">
        <f t="shared" si="10"/>
        <v>7.903825648414986E-2</v>
      </c>
      <c r="AV13" s="1">
        <v>8</v>
      </c>
      <c r="AW13">
        <v>370</v>
      </c>
      <c r="AX13">
        <v>371</v>
      </c>
      <c r="AY13" s="6">
        <v>14</v>
      </c>
      <c r="AZ13" s="6">
        <v>17</v>
      </c>
      <c r="BA13" s="11">
        <f t="shared" si="11"/>
        <v>21.764705882352942</v>
      </c>
      <c r="BB13">
        <f t="shared" si="12"/>
        <v>21.823529411764707</v>
      </c>
      <c r="BC13">
        <f t="shared" si="13"/>
        <v>-1</v>
      </c>
      <c r="BD13">
        <f t="shared" si="14"/>
        <v>-5.8823529411764705E-2</v>
      </c>
      <c r="BE13" s="10">
        <v>8.0351651605675904</v>
      </c>
      <c r="BF13" s="6">
        <v>26.12069</v>
      </c>
      <c r="BG13" s="6">
        <v>29.559909999999999</v>
      </c>
      <c r="BH13" s="6">
        <v>0.58059700000000003</v>
      </c>
      <c r="BI13" s="6">
        <v>0.58620700000000003</v>
      </c>
      <c r="BJ13" s="6"/>
      <c r="BK13" s="6" t="s">
        <v>67</v>
      </c>
      <c r="BL13" s="6" t="s">
        <v>74</v>
      </c>
      <c r="BM13" s="6" t="s">
        <v>102</v>
      </c>
      <c r="BN13" s="6" t="s">
        <v>70</v>
      </c>
    </row>
    <row r="14" spans="1:80">
      <c r="A14" s="1" t="s">
        <v>103</v>
      </c>
      <c r="B14" s="1">
        <v>2022</v>
      </c>
      <c r="C14" s="1" t="s">
        <v>104</v>
      </c>
      <c r="D14" s="1">
        <v>3856318</v>
      </c>
      <c r="E14" s="1">
        <v>5480218</v>
      </c>
      <c r="F14" s="1">
        <v>16068691</v>
      </c>
      <c r="G14" s="1">
        <v>3710583</v>
      </c>
      <c r="H14" s="2">
        <f t="shared" si="0"/>
        <v>19779274</v>
      </c>
      <c r="I14" s="2">
        <f>H14+E14</f>
        <v>25259492</v>
      </c>
      <c r="J14" s="1">
        <v>37408894</v>
      </c>
      <c r="K14" s="2">
        <f t="shared" si="1"/>
        <v>29115810</v>
      </c>
      <c r="L14" s="1">
        <v>66524704</v>
      </c>
      <c r="M14" s="1">
        <v>7425859</v>
      </c>
      <c r="N14" s="1">
        <v>15929240</v>
      </c>
      <c r="O14" s="4">
        <f t="shared" si="2"/>
        <v>23355099</v>
      </c>
      <c r="P14" s="1">
        <v>12683243</v>
      </c>
      <c r="Q14" s="4">
        <f t="shared" si="3"/>
        <v>36038342</v>
      </c>
      <c r="R14" s="1">
        <v>9515023</v>
      </c>
      <c r="S14" s="1">
        <v>16819387</v>
      </c>
      <c r="T14" s="4">
        <f t="shared" si="4"/>
        <v>26334410</v>
      </c>
      <c r="U14" s="1">
        <v>62372752</v>
      </c>
      <c r="V14" s="1">
        <v>2022</v>
      </c>
      <c r="W14" s="8">
        <v>18731282</v>
      </c>
      <c r="X14" s="1">
        <v>0.20599999999999999</v>
      </c>
      <c r="Y14" s="1">
        <v>0</v>
      </c>
      <c r="Z14" s="1">
        <v>0</v>
      </c>
      <c r="AA14" s="1">
        <v>208200000</v>
      </c>
      <c r="AB14" s="1">
        <v>1.852218059558117E-2</v>
      </c>
      <c r="AC14" s="1">
        <v>2.6321892411143133E-2</v>
      </c>
      <c r="AD14" s="1">
        <v>7.7179111431316047E-2</v>
      </c>
      <c r="AE14" s="1">
        <v>1.782220461095101E-2</v>
      </c>
      <c r="AF14" s="2">
        <f t="shared" si="5"/>
        <v>9.5001316042267053E-2</v>
      </c>
      <c r="AG14" s="2">
        <f>AF14+AC14</f>
        <v>0.12132320845341019</v>
      </c>
      <c r="AH14" s="1">
        <v>0.17967768491834774</v>
      </c>
      <c r="AI14" s="2">
        <f t="shared" si="6"/>
        <v>0.13984538904899135</v>
      </c>
      <c r="AJ14" s="1">
        <v>3.5666950048030742E-2</v>
      </c>
      <c r="AK14" s="1">
        <v>7.6509317963496637E-2</v>
      </c>
      <c r="AL14" s="4">
        <f t="shared" si="7"/>
        <v>0.11217626801152739</v>
      </c>
      <c r="AM14" s="1">
        <v>6.0918554274735831E-2</v>
      </c>
      <c r="AN14" s="4">
        <f t="shared" si="8"/>
        <v>0.17309482228626322</v>
      </c>
      <c r="AO14" s="1">
        <v>4.5701359269932754E-2</v>
      </c>
      <c r="AP14" s="1">
        <v>8.0784759846301638E-2</v>
      </c>
      <c r="AQ14" s="4">
        <f t="shared" si="9"/>
        <v>0.12648611911623439</v>
      </c>
      <c r="AR14" s="1">
        <v>0.29958094140249758</v>
      </c>
      <c r="AS14" s="1">
        <v>0.31952307396733909</v>
      </c>
      <c r="AT14" s="1">
        <v>0.38089598463016339</v>
      </c>
      <c r="AU14" s="1">
        <f t="shared" si="10"/>
        <v>8.9967732949087414E-2</v>
      </c>
      <c r="AV14" s="1">
        <v>3</v>
      </c>
      <c r="AW14">
        <v>289</v>
      </c>
      <c r="AX14">
        <v>420</v>
      </c>
      <c r="AY14" s="6">
        <v>30</v>
      </c>
      <c r="AZ14" s="6">
        <v>27</v>
      </c>
      <c r="BA14" s="11">
        <f t="shared" si="11"/>
        <v>17</v>
      </c>
      <c r="BB14">
        <f t="shared" si="12"/>
        <v>24.705882352941178</v>
      </c>
      <c r="BC14">
        <f t="shared" si="13"/>
        <v>-131</v>
      </c>
      <c r="BD14">
        <f t="shared" si="14"/>
        <v>-7.7058823529411766</v>
      </c>
      <c r="BE14" s="10">
        <v>4.48163600963849</v>
      </c>
      <c r="BF14" s="6">
        <v>26.587299999999999</v>
      </c>
      <c r="BG14" s="6">
        <v>27.46453</v>
      </c>
      <c r="BH14" s="6">
        <v>0.49604599999999999</v>
      </c>
      <c r="BI14" s="6">
        <v>0.53968300000000002</v>
      </c>
      <c r="BJ14" s="6"/>
      <c r="BK14" s="6" t="s">
        <v>73</v>
      </c>
      <c r="BL14" s="6" t="s">
        <v>74</v>
      </c>
      <c r="BM14" s="6" t="s">
        <v>75</v>
      </c>
      <c r="BN14" s="6" t="s">
        <v>75</v>
      </c>
    </row>
    <row r="15" spans="1:80">
      <c r="A15" s="1" t="s">
        <v>105</v>
      </c>
      <c r="B15" s="1">
        <v>2022</v>
      </c>
      <c r="C15" s="1" t="s">
        <v>106</v>
      </c>
      <c r="D15" s="1">
        <v>22163558</v>
      </c>
      <c r="E15" s="1">
        <v>3818974</v>
      </c>
      <c r="F15" s="1">
        <v>9081436</v>
      </c>
      <c r="G15" s="1">
        <v>9255943</v>
      </c>
      <c r="H15" s="2">
        <f t="shared" si="0"/>
        <v>18337379</v>
      </c>
      <c r="I15" s="2">
        <f>H15+E15</f>
        <v>22156353</v>
      </c>
      <c r="J15" s="1">
        <v>42356344</v>
      </c>
      <c r="K15" s="2">
        <f t="shared" si="1"/>
        <v>44319911</v>
      </c>
      <c r="L15" s="1">
        <v>86676255</v>
      </c>
      <c r="M15" s="1">
        <v>29095351</v>
      </c>
      <c r="N15" s="1">
        <v>22019573</v>
      </c>
      <c r="O15" s="4">
        <f t="shared" si="2"/>
        <v>51114924</v>
      </c>
      <c r="P15" s="1">
        <v>20698461</v>
      </c>
      <c r="Q15" s="4">
        <f t="shared" si="3"/>
        <v>71813385</v>
      </c>
      <c r="R15" s="1">
        <v>5299201</v>
      </c>
      <c r="S15" s="1">
        <v>21899515</v>
      </c>
      <c r="T15" s="4">
        <f t="shared" si="4"/>
        <v>27198716</v>
      </c>
      <c r="U15" s="1">
        <v>99012101</v>
      </c>
      <c r="V15" s="1">
        <v>2022</v>
      </c>
      <c r="W15" s="8">
        <v>40761551</v>
      </c>
      <c r="X15" s="1">
        <v>0.26500000000000001</v>
      </c>
      <c r="Y15" s="1">
        <v>0</v>
      </c>
      <c r="Z15" s="1">
        <v>0</v>
      </c>
      <c r="AA15" s="1">
        <v>208200000</v>
      </c>
      <c r="AB15" s="1">
        <v>0.10645320845341018</v>
      </c>
      <c r="AC15" s="1">
        <v>1.8342814601344862E-2</v>
      </c>
      <c r="AD15" s="1">
        <v>4.3618808837656099E-2</v>
      </c>
      <c r="AE15" s="1">
        <v>4.4456978866474546E-2</v>
      </c>
      <c r="AF15" s="2">
        <f t="shared" si="5"/>
        <v>8.8075787704130645E-2</v>
      </c>
      <c r="AG15" s="2">
        <f>AF15+AC15</f>
        <v>0.10641860230547551</v>
      </c>
      <c r="AH15" s="1">
        <v>0.20344065321805957</v>
      </c>
      <c r="AI15" s="2">
        <f t="shared" si="6"/>
        <v>0.21287181075888567</v>
      </c>
      <c r="AJ15" s="1">
        <v>0.13974712295869357</v>
      </c>
      <c r="AK15" s="1">
        <v>0.10576163784822286</v>
      </c>
      <c r="AL15" s="4">
        <f t="shared" si="7"/>
        <v>0.24550876080691642</v>
      </c>
      <c r="AM15" s="1">
        <v>9.941623919308358E-2</v>
      </c>
      <c r="AN15" s="4">
        <f t="shared" si="8"/>
        <v>0.34492499999999998</v>
      </c>
      <c r="AO15" s="1">
        <v>2.5452454370797309E-2</v>
      </c>
      <c r="AP15" s="1">
        <v>0.10518499039385207</v>
      </c>
      <c r="AQ15" s="4">
        <f t="shared" si="9"/>
        <v>0.13063744476464939</v>
      </c>
      <c r="AR15" s="1">
        <v>0.47556244476464937</v>
      </c>
      <c r="AS15" s="1">
        <v>0.41631246397694527</v>
      </c>
      <c r="AT15" s="1">
        <v>0.1081250912584053</v>
      </c>
      <c r="AU15" s="1">
        <f t="shared" si="10"/>
        <v>0.19578074447646493</v>
      </c>
      <c r="AV15" s="1">
        <v>4</v>
      </c>
      <c r="AW15">
        <v>289</v>
      </c>
      <c r="AX15">
        <v>427</v>
      </c>
      <c r="AY15" s="6">
        <v>30</v>
      </c>
      <c r="AZ15" s="6">
        <v>28</v>
      </c>
      <c r="BA15" s="11">
        <f t="shared" si="11"/>
        <v>17</v>
      </c>
      <c r="BB15">
        <f t="shared" si="12"/>
        <v>25.117647058823529</v>
      </c>
      <c r="BC15">
        <f t="shared" si="13"/>
        <v>-138</v>
      </c>
      <c r="BD15">
        <f t="shared" si="14"/>
        <v>-8.117647058823529</v>
      </c>
      <c r="BE15" s="10">
        <v>4.2902921322378802</v>
      </c>
      <c r="BF15" s="6">
        <v>25.9375</v>
      </c>
      <c r="BG15" s="6">
        <v>28.136590000000002</v>
      </c>
      <c r="BH15" s="6">
        <v>0.61909199999999998</v>
      </c>
      <c r="BI15" s="6">
        <v>0.484375</v>
      </c>
      <c r="BJ15" s="6"/>
      <c r="BK15" s="6" t="s">
        <v>80</v>
      </c>
      <c r="BL15" s="6" t="s">
        <v>68</v>
      </c>
      <c r="BM15" s="6" t="s">
        <v>92</v>
      </c>
      <c r="BN15" s="6" t="s">
        <v>70</v>
      </c>
    </row>
    <row r="16" spans="1:80">
      <c r="A16" s="1" t="s">
        <v>107</v>
      </c>
      <c r="B16" s="1">
        <v>2022</v>
      </c>
      <c r="C16" s="1" t="s">
        <v>108</v>
      </c>
      <c r="D16" s="1">
        <v>11319156</v>
      </c>
      <c r="E16" s="1">
        <v>5232412</v>
      </c>
      <c r="F16" s="1">
        <v>29108793</v>
      </c>
      <c r="G16" s="1">
        <v>16652093</v>
      </c>
      <c r="H16" s="2">
        <f t="shared" si="0"/>
        <v>45760886</v>
      </c>
      <c r="I16" s="2">
        <f>H16+E16</f>
        <v>50993298</v>
      </c>
      <c r="J16" s="1">
        <v>28354461</v>
      </c>
      <c r="K16" s="2">
        <f t="shared" si="1"/>
        <v>62312454</v>
      </c>
      <c r="L16" s="1">
        <v>90666915</v>
      </c>
      <c r="M16" s="1">
        <v>18616330</v>
      </c>
      <c r="N16" s="1">
        <v>29701227</v>
      </c>
      <c r="O16" s="4">
        <f t="shared" si="2"/>
        <v>48317557</v>
      </c>
      <c r="P16" s="1">
        <v>11848942</v>
      </c>
      <c r="Q16" s="4">
        <f t="shared" si="3"/>
        <v>60166499</v>
      </c>
      <c r="R16" s="1">
        <v>14816692</v>
      </c>
      <c r="S16" s="1">
        <v>28605261</v>
      </c>
      <c r="T16" s="4">
        <f t="shared" si="4"/>
        <v>43421953</v>
      </c>
      <c r="U16" s="1">
        <v>103588452</v>
      </c>
      <c r="V16" s="1">
        <v>2022</v>
      </c>
      <c r="W16" s="8">
        <v>33889632</v>
      </c>
      <c r="X16" s="1">
        <v>0.52900000000000003</v>
      </c>
      <c r="Y16" s="1">
        <v>1</v>
      </c>
      <c r="Z16" s="1">
        <v>0</v>
      </c>
      <c r="AA16" s="1">
        <v>208200000</v>
      </c>
      <c r="AB16" s="1">
        <v>5.4366743515850142E-2</v>
      </c>
      <c r="AC16" s="1">
        <v>2.51316618635927E-2</v>
      </c>
      <c r="AD16" s="1">
        <v>0.13981168587896253</v>
      </c>
      <c r="AE16" s="1">
        <v>7.9981234390009606E-2</v>
      </c>
      <c r="AF16" s="2">
        <f t="shared" si="5"/>
        <v>0.21979292026897213</v>
      </c>
      <c r="AG16" s="2">
        <f>AF16+AC16</f>
        <v>0.24492458213256482</v>
      </c>
      <c r="AH16" s="1">
        <v>0.1361885734870317</v>
      </c>
      <c r="AI16" s="2">
        <f t="shared" si="6"/>
        <v>0.29929132564841499</v>
      </c>
      <c r="AJ16" s="1">
        <v>8.9415609990393857E-2</v>
      </c>
      <c r="AK16" s="1">
        <v>0.14265719020172909</v>
      </c>
      <c r="AL16" s="4">
        <f t="shared" si="7"/>
        <v>0.23207280019212295</v>
      </c>
      <c r="AM16" s="1">
        <v>5.6911344860710852E-2</v>
      </c>
      <c r="AN16" s="4">
        <f t="shared" si="8"/>
        <v>0.28898414505283382</v>
      </c>
      <c r="AO16" s="1">
        <v>7.1165667627281465E-2</v>
      </c>
      <c r="AP16" s="1">
        <v>0.13739318443804036</v>
      </c>
      <c r="AQ16" s="4">
        <f t="shared" si="9"/>
        <v>0.20855885206532182</v>
      </c>
      <c r="AR16" s="1">
        <v>0.49754299711815564</v>
      </c>
      <c r="AS16" s="1">
        <v>0.43547989913544671</v>
      </c>
      <c r="AT16" s="1">
        <v>6.6977103746397648E-2</v>
      </c>
      <c r="AU16" s="1">
        <f t="shared" si="10"/>
        <v>0.16277440922190201</v>
      </c>
      <c r="AV16" s="1">
        <v>9</v>
      </c>
      <c r="AW16">
        <v>404</v>
      </c>
      <c r="AX16">
        <v>350</v>
      </c>
      <c r="AY16" s="6">
        <v>10</v>
      </c>
      <c r="AZ16" s="6">
        <v>12</v>
      </c>
      <c r="BA16" s="11">
        <f t="shared" si="11"/>
        <v>23.764705882352942</v>
      </c>
      <c r="BB16">
        <f t="shared" si="12"/>
        <v>20.588235294117649</v>
      </c>
      <c r="BC16">
        <f t="shared" si="13"/>
        <v>54</v>
      </c>
      <c r="BD16">
        <f t="shared" si="14"/>
        <v>3.1764705882352939</v>
      </c>
      <c r="BE16" s="10">
        <v>9.5385813394136196</v>
      </c>
      <c r="BF16" s="6">
        <v>25.93103</v>
      </c>
      <c r="BG16" s="6">
        <v>26.758749999999999</v>
      </c>
      <c r="BH16" s="6">
        <v>0.51949500000000004</v>
      </c>
      <c r="BI16" s="6">
        <v>0.5</v>
      </c>
      <c r="BJ16" s="6"/>
      <c r="BK16" s="6" t="s">
        <v>73</v>
      </c>
      <c r="BL16" s="6" t="s">
        <v>74</v>
      </c>
      <c r="BM16" s="6" t="s">
        <v>75</v>
      </c>
      <c r="BN16" s="6" t="s">
        <v>75</v>
      </c>
    </row>
    <row r="17" spans="1:66">
      <c r="A17" s="1" t="s">
        <v>109</v>
      </c>
      <c r="B17" s="1">
        <v>2022</v>
      </c>
      <c r="C17" s="1" t="s">
        <v>110</v>
      </c>
      <c r="D17" s="1">
        <v>38825381</v>
      </c>
      <c r="E17" s="1">
        <v>6354516</v>
      </c>
      <c r="F17" s="1">
        <v>17174008</v>
      </c>
      <c r="G17" s="1">
        <v>11542063</v>
      </c>
      <c r="H17" s="2">
        <f t="shared" si="0"/>
        <v>28716071</v>
      </c>
      <c r="I17" s="2">
        <f>H17+E17</f>
        <v>35070587</v>
      </c>
      <c r="J17" s="1">
        <v>32124103</v>
      </c>
      <c r="K17" s="2">
        <f t="shared" si="1"/>
        <v>73895968</v>
      </c>
      <c r="L17" s="1">
        <v>106020071</v>
      </c>
      <c r="M17" s="1">
        <v>35145929</v>
      </c>
      <c r="N17" s="1">
        <v>21080281</v>
      </c>
      <c r="O17" s="4">
        <f t="shared" si="2"/>
        <v>56226210</v>
      </c>
      <c r="P17" s="1">
        <v>5261411</v>
      </c>
      <c r="Q17" s="4">
        <f t="shared" si="3"/>
        <v>61487621</v>
      </c>
      <c r="R17" s="1">
        <v>10692255</v>
      </c>
      <c r="S17" s="1">
        <v>5600619</v>
      </c>
      <c r="T17" s="4">
        <f t="shared" si="4"/>
        <v>16292874</v>
      </c>
      <c r="U17" s="1">
        <v>77780495</v>
      </c>
      <c r="V17" s="1">
        <v>2022</v>
      </c>
      <c r="W17" s="8">
        <v>5217280</v>
      </c>
      <c r="X17" s="1">
        <v>0.82399999999999995</v>
      </c>
      <c r="Y17" s="1">
        <v>1</v>
      </c>
      <c r="Z17" s="1">
        <v>1</v>
      </c>
      <c r="AA17" s="1">
        <v>208200000</v>
      </c>
      <c r="AB17" s="1">
        <v>0.18648117675312201</v>
      </c>
      <c r="AC17" s="1">
        <v>3.0521210374639771E-2</v>
      </c>
      <c r="AD17" s="1">
        <v>8.2488030739673396E-2</v>
      </c>
      <c r="AE17" s="1">
        <v>5.5437382324687798E-2</v>
      </c>
      <c r="AF17" s="2">
        <f t="shared" si="5"/>
        <v>0.13792541306436118</v>
      </c>
      <c r="AG17" s="2">
        <f>AF17+AC17</f>
        <v>0.16844662343900096</v>
      </c>
      <c r="AH17" s="1">
        <v>0.15429444284341978</v>
      </c>
      <c r="AI17" s="2">
        <f t="shared" si="6"/>
        <v>0.35492780019212294</v>
      </c>
      <c r="AJ17" s="1">
        <v>0.16880849663784822</v>
      </c>
      <c r="AK17" s="1">
        <v>0.10125014889529299</v>
      </c>
      <c r="AL17" s="4">
        <f t="shared" si="7"/>
        <v>0.27005864553314118</v>
      </c>
      <c r="AM17" s="1">
        <v>2.5270946205571566E-2</v>
      </c>
      <c r="AN17" s="4">
        <f t="shared" si="8"/>
        <v>0.29532959173871276</v>
      </c>
      <c r="AO17" s="1">
        <v>5.1355691642651295E-2</v>
      </c>
      <c r="AP17" s="1">
        <v>2.6900187319884725E-2</v>
      </c>
      <c r="AQ17" s="4">
        <f t="shared" si="9"/>
        <v>7.8255878962536024E-2</v>
      </c>
      <c r="AR17" s="1">
        <v>0.37358547070124881</v>
      </c>
      <c r="AS17" s="1">
        <v>0.50922224303554275</v>
      </c>
      <c r="AT17" s="1">
        <v>0.11719228626320843</v>
      </c>
      <c r="AU17" s="1">
        <f t="shared" si="10"/>
        <v>2.5058981748318925E-2</v>
      </c>
      <c r="AV17" s="1">
        <v>14</v>
      </c>
      <c r="AW17">
        <v>496</v>
      </c>
      <c r="AX17">
        <v>369</v>
      </c>
      <c r="AY17" s="6">
        <v>1</v>
      </c>
      <c r="AZ17" s="6">
        <v>16</v>
      </c>
      <c r="BA17" s="11">
        <f t="shared" si="11"/>
        <v>29.176470588235293</v>
      </c>
      <c r="BB17">
        <f t="shared" si="12"/>
        <v>21.705882352941178</v>
      </c>
      <c r="BC17">
        <f t="shared" si="13"/>
        <v>127</v>
      </c>
      <c r="BD17">
        <f t="shared" si="14"/>
        <v>7.4705882352941178</v>
      </c>
      <c r="BE17" s="10">
        <v>11.5340246317083</v>
      </c>
      <c r="BF17" s="6">
        <v>25.932200000000002</v>
      </c>
      <c r="BG17" s="6">
        <v>27.16356</v>
      </c>
      <c r="BH17" s="6">
        <v>0.64771100000000004</v>
      </c>
      <c r="BI17" s="6">
        <v>0.57627099999999998</v>
      </c>
      <c r="BJ17" s="6"/>
      <c r="BK17" s="6" t="s">
        <v>73</v>
      </c>
      <c r="BL17" s="6" t="s">
        <v>96</v>
      </c>
      <c r="BM17" s="6" t="s">
        <v>93</v>
      </c>
      <c r="BN17" s="6" t="s">
        <v>93</v>
      </c>
    </row>
    <row r="18" spans="1:66">
      <c r="A18" s="1" t="s">
        <v>111</v>
      </c>
      <c r="B18" s="1">
        <v>2022</v>
      </c>
      <c r="C18" s="1" t="s">
        <v>112</v>
      </c>
      <c r="D18" s="1">
        <v>20418333</v>
      </c>
      <c r="E18" s="1">
        <v>9227435</v>
      </c>
      <c r="F18" s="1">
        <v>19243265</v>
      </c>
      <c r="G18" s="1">
        <v>15179098</v>
      </c>
      <c r="H18" s="2">
        <f t="shared" si="0"/>
        <v>34422363</v>
      </c>
      <c r="I18" s="2">
        <f>H18+E18</f>
        <v>43649798</v>
      </c>
      <c r="J18" s="1">
        <v>17819365</v>
      </c>
      <c r="K18" s="2">
        <f t="shared" si="1"/>
        <v>64068131</v>
      </c>
      <c r="L18" s="1">
        <v>81887496</v>
      </c>
      <c r="M18" s="1">
        <v>8277623</v>
      </c>
      <c r="N18" s="1">
        <v>27221208</v>
      </c>
      <c r="O18" s="4">
        <f t="shared" si="2"/>
        <v>35498831</v>
      </c>
      <c r="P18" s="1">
        <v>7958161</v>
      </c>
      <c r="Q18" s="4">
        <f t="shared" si="3"/>
        <v>43456992</v>
      </c>
      <c r="R18" s="1">
        <v>4938654</v>
      </c>
      <c r="S18" s="1">
        <v>10529295</v>
      </c>
      <c r="T18" s="4">
        <f t="shared" si="4"/>
        <v>15467949</v>
      </c>
      <c r="U18" s="1">
        <v>58924941</v>
      </c>
      <c r="V18" s="1">
        <v>2022</v>
      </c>
      <c r="W18" s="8">
        <v>25793138</v>
      </c>
      <c r="X18" s="1">
        <v>0.35299999999999998</v>
      </c>
      <c r="Y18" s="1">
        <v>0</v>
      </c>
      <c r="Z18" s="1">
        <v>0</v>
      </c>
      <c r="AA18" s="1">
        <v>208200000</v>
      </c>
      <c r="AB18" s="1">
        <v>9.8070763688760804E-2</v>
      </c>
      <c r="AC18" s="1">
        <v>4.4320052833813642E-2</v>
      </c>
      <c r="AD18" s="1">
        <v>9.2426825168107588E-2</v>
      </c>
      <c r="AE18" s="1">
        <v>7.2906330451488949E-2</v>
      </c>
      <c r="AF18" s="2">
        <f t="shared" si="5"/>
        <v>0.16533315561959655</v>
      </c>
      <c r="AG18" s="2">
        <f>AF18+AC18</f>
        <v>0.20965320845341018</v>
      </c>
      <c r="AH18" s="1">
        <v>8.5587728146013453E-2</v>
      </c>
      <c r="AI18" s="2">
        <f t="shared" si="6"/>
        <v>0.30772397214217095</v>
      </c>
      <c r="AJ18" s="1">
        <v>3.9758035542747358E-2</v>
      </c>
      <c r="AK18" s="1">
        <v>0.13074547550432278</v>
      </c>
      <c r="AL18" s="4">
        <f t="shared" si="7"/>
        <v>0.17050351104707012</v>
      </c>
      <c r="AM18" s="1">
        <v>3.8223635926993273E-2</v>
      </c>
      <c r="AN18" s="4">
        <f t="shared" si="8"/>
        <v>0.20872714697406339</v>
      </c>
      <c r="AO18" s="1">
        <v>2.37207204610951E-2</v>
      </c>
      <c r="AP18" s="1">
        <v>5.057298270893372E-2</v>
      </c>
      <c r="AQ18" s="4">
        <f t="shared" si="9"/>
        <v>7.4293703170028813E-2</v>
      </c>
      <c r="AR18" s="1">
        <v>0.28302085014409223</v>
      </c>
      <c r="AS18" s="1">
        <v>0.39331170028818446</v>
      </c>
      <c r="AT18" s="1">
        <v>0.32366744956772331</v>
      </c>
      <c r="AU18" s="1">
        <f t="shared" si="10"/>
        <v>0.12388634966378483</v>
      </c>
      <c r="AV18" s="1">
        <v>6</v>
      </c>
      <c r="AW18">
        <v>395</v>
      </c>
      <c r="AX18">
        <v>418</v>
      </c>
      <c r="AY18" s="6">
        <v>12</v>
      </c>
      <c r="AZ18" s="6">
        <v>26</v>
      </c>
      <c r="BA18" s="11">
        <f t="shared" si="11"/>
        <v>23.235294117647058</v>
      </c>
      <c r="BB18">
        <f t="shared" si="12"/>
        <v>24.588235294117649</v>
      </c>
      <c r="BC18">
        <f t="shared" si="13"/>
        <v>-23</v>
      </c>
      <c r="BD18">
        <f t="shared" si="14"/>
        <v>-1.3529411764705883</v>
      </c>
      <c r="BE18" s="10">
        <v>7.43379868893624</v>
      </c>
      <c r="BF18" s="6">
        <v>26.287880000000001</v>
      </c>
      <c r="BG18" s="6">
        <v>27.774249999999999</v>
      </c>
      <c r="BH18" s="6">
        <v>0.59575900000000004</v>
      </c>
      <c r="BI18" s="6">
        <v>0.33333299999999999</v>
      </c>
      <c r="BJ18" s="6"/>
      <c r="BK18" s="6" t="s">
        <v>80</v>
      </c>
      <c r="BL18" s="6" t="s">
        <v>68</v>
      </c>
      <c r="BM18" s="6" t="s">
        <v>92</v>
      </c>
      <c r="BN18" s="6" t="s">
        <v>93</v>
      </c>
    </row>
    <row r="19" spans="1:66">
      <c r="A19" s="1" t="s">
        <v>113</v>
      </c>
      <c r="B19" s="1">
        <v>2022</v>
      </c>
      <c r="C19" s="1" t="s">
        <v>114</v>
      </c>
      <c r="D19" s="1">
        <v>10283406</v>
      </c>
      <c r="E19" s="1">
        <v>9875576</v>
      </c>
      <c r="F19" s="1">
        <v>37838148</v>
      </c>
      <c r="G19" s="1">
        <v>6820248</v>
      </c>
      <c r="H19" s="2">
        <f t="shared" si="0"/>
        <v>44658396</v>
      </c>
      <c r="I19" s="2">
        <f>H19+E19</f>
        <v>54533972</v>
      </c>
      <c r="J19" s="1">
        <v>31772859</v>
      </c>
      <c r="K19" s="2">
        <f t="shared" si="1"/>
        <v>64817378</v>
      </c>
      <c r="L19" s="1">
        <v>96590237</v>
      </c>
      <c r="M19" s="1">
        <v>13777389</v>
      </c>
      <c r="N19" s="1">
        <v>41335618</v>
      </c>
      <c r="O19" s="4">
        <f t="shared" si="2"/>
        <v>55113007</v>
      </c>
      <c r="P19" s="1">
        <v>9663825</v>
      </c>
      <c r="Q19" s="4">
        <f t="shared" si="3"/>
        <v>64776832</v>
      </c>
      <c r="R19" s="1">
        <v>13289700</v>
      </c>
      <c r="S19" s="1">
        <v>21839498</v>
      </c>
      <c r="T19" s="4">
        <f t="shared" si="4"/>
        <v>35129198</v>
      </c>
      <c r="U19" s="1">
        <v>99906030</v>
      </c>
      <c r="V19" s="1">
        <v>2022</v>
      </c>
      <c r="W19" s="8">
        <v>23676219</v>
      </c>
      <c r="X19" s="1">
        <v>0.58799999999999997</v>
      </c>
      <c r="Y19" s="1">
        <v>1</v>
      </c>
      <c r="Z19" s="1">
        <v>0</v>
      </c>
      <c r="AA19" s="1">
        <v>208200000</v>
      </c>
      <c r="AB19" s="1">
        <v>4.9391959654178676E-2</v>
      </c>
      <c r="AC19" s="1">
        <v>4.7433121998078767E-2</v>
      </c>
      <c r="AD19" s="1">
        <v>0.18173942363112391</v>
      </c>
      <c r="AE19" s="1">
        <v>3.2758155619596545E-2</v>
      </c>
      <c r="AF19" s="2">
        <f t="shared" si="5"/>
        <v>0.21449757925072047</v>
      </c>
      <c r="AG19" s="2">
        <f>AF19+AC19</f>
        <v>0.26193070124879925</v>
      </c>
      <c r="AH19" s="1">
        <v>0.15260739193083572</v>
      </c>
      <c r="AI19" s="2">
        <f t="shared" si="6"/>
        <v>0.31132266090297794</v>
      </c>
      <c r="AJ19" s="1">
        <v>6.6173818443804031E-2</v>
      </c>
      <c r="AK19" s="1">
        <v>0.19853803073967338</v>
      </c>
      <c r="AL19" s="4">
        <f t="shared" si="7"/>
        <v>0.2647118491834774</v>
      </c>
      <c r="AM19" s="1">
        <v>4.6416066282420752E-2</v>
      </c>
      <c r="AN19" s="4">
        <f t="shared" si="8"/>
        <v>0.31112791546589813</v>
      </c>
      <c r="AO19" s="1">
        <v>6.3831412103746404E-2</v>
      </c>
      <c r="AP19" s="1">
        <v>0.10489672430355428</v>
      </c>
      <c r="AQ19" s="4">
        <f t="shared" si="9"/>
        <v>0.16872813640730067</v>
      </c>
      <c r="AR19" s="1">
        <v>0.47985605187319885</v>
      </c>
      <c r="AS19" s="1">
        <v>0.46393005283381367</v>
      </c>
      <c r="AT19" s="1">
        <v>5.6213895292987481E-2</v>
      </c>
      <c r="AU19" s="1">
        <f t="shared" si="10"/>
        <v>0.11371863112391931</v>
      </c>
      <c r="AV19" s="1">
        <v>10</v>
      </c>
      <c r="AW19">
        <v>391</v>
      </c>
      <c r="AX19">
        <v>384</v>
      </c>
      <c r="AY19" s="6">
        <v>13</v>
      </c>
      <c r="AZ19" s="6">
        <v>21</v>
      </c>
      <c r="BA19" s="11">
        <f t="shared" si="11"/>
        <v>23</v>
      </c>
      <c r="BB19">
        <f t="shared" si="12"/>
        <v>22.588235294117649</v>
      </c>
      <c r="BC19">
        <f t="shared" si="13"/>
        <v>7</v>
      </c>
      <c r="BD19">
        <f t="shared" si="14"/>
        <v>0.41176470588235292</v>
      </c>
      <c r="BE19" s="10">
        <v>8.2538438773977099</v>
      </c>
      <c r="BF19" s="6">
        <v>26.132349999999999</v>
      </c>
      <c r="BG19" s="6">
        <v>27.487259999999999</v>
      </c>
      <c r="BH19" s="6">
        <v>0.64086699999999996</v>
      </c>
      <c r="BI19" s="6">
        <v>0.5</v>
      </c>
      <c r="BJ19" s="6"/>
      <c r="BK19" s="6" t="s">
        <v>73</v>
      </c>
      <c r="BL19" s="6" t="s">
        <v>96</v>
      </c>
      <c r="BM19" s="6" t="s">
        <v>93</v>
      </c>
      <c r="BN19" s="6" t="s">
        <v>93</v>
      </c>
    </row>
    <row r="20" spans="1:66">
      <c r="A20" s="1" t="s">
        <v>115</v>
      </c>
      <c r="B20" s="1">
        <v>2022</v>
      </c>
      <c r="C20" s="1" t="s">
        <v>116</v>
      </c>
      <c r="D20" s="1">
        <v>16649944</v>
      </c>
      <c r="E20" s="1">
        <v>2816993</v>
      </c>
      <c r="F20" s="1">
        <v>28497273</v>
      </c>
      <c r="G20" s="1">
        <v>5474116</v>
      </c>
      <c r="H20" s="2">
        <f t="shared" si="0"/>
        <v>33971389</v>
      </c>
      <c r="I20" s="2">
        <f>H20+E20</f>
        <v>36788382</v>
      </c>
      <c r="J20" s="1">
        <v>20272409</v>
      </c>
      <c r="K20" s="2">
        <f t="shared" si="1"/>
        <v>53438326</v>
      </c>
      <c r="L20" s="1">
        <v>73710735</v>
      </c>
      <c r="M20" s="1">
        <v>42719120</v>
      </c>
      <c r="N20" s="1">
        <v>9516649</v>
      </c>
      <c r="O20" s="4">
        <f t="shared" si="2"/>
        <v>52235769</v>
      </c>
      <c r="P20" s="1">
        <v>5686025</v>
      </c>
      <c r="Q20" s="4">
        <f t="shared" si="3"/>
        <v>57921794</v>
      </c>
      <c r="R20" s="1">
        <v>6950860</v>
      </c>
      <c r="S20" s="1">
        <v>30915195</v>
      </c>
      <c r="T20" s="4">
        <f t="shared" si="4"/>
        <v>37866055</v>
      </c>
      <c r="U20" s="1">
        <v>95787849</v>
      </c>
      <c r="V20" s="1">
        <v>2022</v>
      </c>
      <c r="W20" s="8">
        <v>58353159</v>
      </c>
      <c r="X20" s="1">
        <v>0.29399999999999998</v>
      </c>
      <c r="Y20" s="1">
        <v>0</v>
      </c>
      <c r="Z20" s="1">
        <v>0</v>
      </c>
      <c r="AA20" s="1">
        <v>208200000</v>
      </c>
      <c r="AB20" s="1">
        <v>7.9970912584053797E-2</v>
      </c>
      <c r="AC20" s="1">
        <v>1.3530225744476465E-2</v>
      </c>
      <c r="AD20" s="1">
        <v>0.13687451008645532</v>
      </c>
      <c r="AE20" s="1">
        <v>2.6292584053794428E-2</v>
      </c>
      <c r="AF20" s="2">
        <f t="shared" si="5"/>
        <v>0.16316709414024974</v>
      </c>
      <c r="AG20" s="2">
        <f>AF20+AC20</f>
        <v>0.1766973198847262</v>
      </c>
      <c r="AH20" s="1">
        <v>9.7369879923150812E-2</v>
      </c>
      <c r="AI20" s="2">
        <f t="shared" si="6"/>
        <v>0.25666823246878001</v>
      </c>
      <c r="AJ20" s="1">
        <v>0.20518309317963496</v>
      </c>
      <c r="AK20" s="1">
        <v>4.5709169068203652E-2</v>
      </c>
      <c r="AL20" s="4">
        <f t="shared" si="7"/>
        <v>0.25089226224783862</v>
      </c>
      <c r="AM20" s="1">
        <v>2.731039865513929E-2</v>
      </c>
      <c r="AN20" s="4">
        <f t="shared" si="8"/>
        <v>0.27820266090297791</v>
      </c>
      <c r="AO20" s="1">
        <v>3.3385494716618634E-2</v>
      </c>
      <c r="AP20" s="1">
        <v>0.14848796829971181</v>
      </c>
      <c r="AQ20" s="4">
        <f t="shared" si="9"/>
        <v>0.18187346301633045</v>
      </c>
      <c r="AR20" s="1">
        <v>0.46007612391930836</v>
      </c>
      <c r="AS20" s="1">
        <v>0.35403811239193084</v>
      </c>
      <c r="AT20" s="1">
        <v>0.18588576368876075</v>
      </c>
      <c r="AU20" s="1">
        <f t="shared" si="10"/>
        <v>0.28027453890489912</v>
      </c>
      <c r="AV20" s="1">
        <v>5</v>
      </c>
      <c r="AW20">
        <v>307</v>
      </c>
      <c r="AX20">
        <v>384</v>
      </c>
      <c r="AY20" s="6">
        <v>27</v>
      </c>
      <c r="AZ20" s="6">
        <v>21</v>
      </c>
      <c r="BA20" s="11">
        <f t="shared" si="11"/>
        <v>18.058823529411764</v>
      </c>
      <c r="BB20">
        <f t="shared" si="12"/>
        <v>22.588235294117649</v>
      </c>
      <c r="BC20">
        <f t="shared" si="13"/>
        <v>-77</v>
      </c>
      <c r="BD20">
        <f t="shared" si="14"/>
        <v>-4.5294117647058822</v>
      </c>
      <c r="BE20" s="10">
        <v>5.9577173490550202</v>
      </c>
      <c r="BF20" s="6">
        <v>25.985710000000001</v>
      </c>
      <c r="BG20" s="6">
        <v>28.487500000000001</v>
      </c>
      <c r="BH20" s="6">
        <v>0.67121299999999995</v>
      </c>
      <c r="BI20" s="6">
        <v>0.54285700000000003</v>
      </c>
      <c r="BJ20" s="6"/>
      <c r="BK20" s="6" t="s">
        <v>67</v>
      </c>
      <c r="BL20" s="6" t="s">
        <v>96</v>
      </c>
      <c r="BM20" s="6" t="s">
        <v>70</v>
      </c>
      <c r="BN20" s="6" t="s">
        <v>70</v>
      </c>
    </row>
    <row r="21" spans="1:66">
      <c r="A21" s="1" t="s">
        <v>117</v>
      </c>
      <c r="B21" s="1">
        <v>2022</v>
      </c>
      <c r="C21" s="1" t="s">
        <v>118</v>
      </c>
      <c r="D21" s="1">
        <v>15532211</v>
      </c>
      <c r="E21" s="1">
        <v>6283012</v>
      </c>
      <c r="F21" s="1">
        <v>22148490</v>
      </c>
      <c r="G21" s="1">
        <v>19623554</v>
      </c>
      <c r="H21" s="2">
        <f t="shared" si="0"/>
        <v>41772044</v>
      </c>
      <c r="I21" s="2">
        <f>H21+E21</f>
        <v>48055056</v>
      </c>
      <c r="J21" s="1">
        <v>25147971</v>
      </c>
      <c r="K21" s="2">
        <f t="shared" si="1"/>
        <v>63587267</v>
      </c>
      <c r="L21" s="1">
        <v>88735238</v>
      </c>
      <c r="M21" s="1">
        <v>22072401</v>
      </c>
      <c r="N21" s="1">
        <v>16107979</v>
      </c>
      <c r="O21" s="4">
        <f t="shared" si="2"/>
        <v>38180380</v>
      </c>
      <c r="P21" s="1">
        <v>15828692</v>
      </c>
      <c r="Q21" s="4">
        <f t="shared" si="3"/>
        <v>54009072</v>
      </c>
      <c r="R21" s="1">
        <v>10737529</v>
      </c>
      <c r="S21" s="1">
        <v>29180509</v>
      </c>
      <c r="T21" s="4">
        <f t="shared" si="4"/>
        <v>39918038</v>
      </c>
      <c r="U21" s="1">
        <v>93927110</v>
      </c>
      <c r="V21" s="1">
        <v>2022</v>
      </c>
      <c r="W21" s="8">
        <v>38149986</v>
      </c>
      <c r="X21" s="1">
        <v>0.52900000000000003</v>
      </c>
      <c r="Y21" s="1">
        <v>1</v>
      </c>
      <c r="Z21" s="1">
        <v>0</v>
      </c>
      <c r="AA21" s="1">
        <v>208200000</v>
      </c>
      <c r="AB21" s="1">
        <v>7.4602358309317968E-2</v>
      </c>
      <c r="AC21" s="1">
        <v>3.0177771373679156E-2</v>
      </c>
      <c r="AD21" s="1">
        <v>0.10638083573487031</v>
      </c>
      <c r="AE21" s="1">
        <v>9.4253381364073005E-2</v>
      </c>
      <c r="AF21" s="2">
        <f t="shared" si="5"/>
        <v>0.2006342170989433</v>
      </c>
      <c r="AG21" s="2">
        <f>AF21+AC21</f>
        <v>0.23081198847262246</v>
      </c>
      <c r="AH21" s="1">
        <v>0.12078756484149857</v>
      </c>
      <c r="AI21" s="2">
        <f t="shared" si="6"/>
        <v>0.30541434678194046</v>
      </c>
      <c r="AJ21" s="1">
        <v>0.10601537463976946</v>
      </c>
      <c r="AK21" s="1">
        <v>7.7367814601344856E-2</v>
      </c>
      <c r="AL21" s="4">
        <f t="shared" si="7"/>
        <v>0.1833831892411143</v>
      </c>
      <c r="AM21" s="1">
        <v>7.6026378482228624E-2</v>
      </c>
      <c r="AN21" s="4">
        <f t="shared" si="8"/>
        <v>0.25940956772334289</v>
      </c>
      <c r="AO21" s="1">
        <v>5.1573146013448611E-2</v>
      </c>
      <c r="AP21" s="1">
        <v>0.14015614313160424</v>
      </c>
      <c r="AQ21" s="4">
        <f t="shared" si="9"/>
        <v>0.19172928914505286</v>
      </c>
      <c r="AR21" s="1">
        <v>0.45113885686839578</v>
      </c>
      <c r="AS21" s="1">
        <v>0.42620191162343901</v>
      </c>
      <c r="AT21" s="1">
        <v>0.12265923150816516</v>
      </c>
      <c r="AU21" s="1">
        <f t="shared" si="10"/>
        <v>0.183237204610951</v>
      </c>
      <c r="AV21" s="1">
        <v>9</v>
      </c>
      <c r="AW21">
        <v>397</v>
      </c>
      <c r="AX21">
        <v>399</v>
      </c>
      <c r="AY21" s="6">
        <v>11</v>
      </c>
      <c r="AZ21" s="6">
        <v>24</v>
      </c>
      <c r="BA21" s="11">
        <f t="shared" si="11"/>
        <v>23.352941176470587</v>
      </c>
      <c r="BB21">
        <f t="shared" si="12"/>
        <v>23.470588235294116</v>
      </c>
      <c r="BC21">
        <f t="shared" si="13"/>
        <v>-2</v>
      </c>
      <c r="BD21">
        <f t="shared" si="14"/>
        <v>-0.11764705882352941</v>
      </c>
      <c r="BE21" s="10">
        <v>8.0078303206733903</v>
      </c>
      <c r="BF21" s="6">
        <v>26.712119999999999</v>
      </c>
      <c r="BG21" s="6">
        <v>26.990649999999999</v>
      </c>
      <c r="BH21" s="6">
        <v>0.471356</v>
      </c>
      <c r="BI21" s="6">
        <v>0.56060600000000005</v>
      </c>
      <c r="BJ21" s="6"/>
      <c r="BK21" s="6" t="s">
        <v>73</v>
      </c>
      <c r="BL21" s="6" t="s">
        <v>74</v>
      </c>
      <c r="BM21" s="6" t="s">
        <v>75</v>
      </c>
      <c r="BN21" s="6" t="s">
        <v>75</v>
      </c>
    </row>
    <row r="22" spans="1:66">
      <c r="A22" s="1" t="s">
        <v>119</v>
      </c>
      <c r="B22" s="1">
        <v>2022</v>
      </c>
      <c r="C22" s="1" t="s">
        <v>120</v>
      </c>
      <c r="D22" s="1">
        <v>32714868</v>
      </c>
      <c r="E22" s="1">
        <v>15003672</v>
      </c>
      <c r="F22" s="1">
        <v>20983931</v>
      </c>
      <c r="G22" s="1">
        <v>4284548</v>
      </c>
      <c r="H22" s="2">
        <f t="shared" si="0"/>
        <v>25268479</v>
      </c>
      <c r="I22" s="2">
        <f>H22+E22</f>
        <v>40272151</v>
      </c>
      <c r="J22" s="1">
        <v>23308381</v>
      </c>
      <c r="K22" s="2">
        <f t="shared" si="1"/>
        <v>72987019</v>
      </c>
      <c r="L22" s="1">
        <v>96295400</v>
      </c>
      <c r="M22" s="1">
        <v>15474289</v>
      </c>
      <c r="N22" s="1">
        <v>19943129</v>
      </c>
      <c r="O22" s="4">
        <f t="shared" si="2"/>
        <v>35417418</v>
      </c>
      <c r="P22" s="1">
        <v>19514329</v>
      </c>
      <c r="Q22" s="4">
        <f t="shared" si="3"/>
        <v>54931747</v>
      </c>
      <c r="R22" s="1">
        <v>12077857</v>
      </c>
      <c r="S22" s="1">
        <v>10659606</v>
      </c>
      <c r="T22" s="4">
        <f t="shared" si="4"/>
        <v>22737463</v>
      </c>
      <c r="U22" s="1">
        <v>77669210</v>
      </c>
      <c r="V22" s="1">
        <v>2022</v>
      </c>
      <c r="W22" s="8">
        <v>15575169</v>
      </c>
      <c r="X22" s="1">
        <v>0.76500000000000001</v>
      </c>
      <c r="Y22" s="1">
        <v>1</v>
      </c>
      <c r="Z22" s="1">
        <v>0</v>
      </c>
      <c r="AA22" s="1">
        <v>208200000</v>
      </c>
      <c r="AB22" s="1">
        <v>0.15713193083573487</v>
      </c>
      <c r="AC22" s="1">
        <v>7.2063746397694528E-2</v>
      </c>
      <c r="AD22" s="1">
        <v>0.10078737271853987</v>
      </c>
      <c r="AE22" s="1">
        <v>2.0579000960614793E-2</v>
      </c>
      <c r="AF22" s="2">
        <f t="shared" si="5"/>
        <v>0.12136637367915466</v>
      </c>
      <c r="AG22" s="2">
        <f>AF22+AC22</f>
        <v>0.19343012007684918</v>
      </c>
      <c r="AH22" s="1">
        <v>0.11195187800192123</v>
      </c>
      <c r="AI22" s="2">
        <f t="shared" si="6"/>
        <v>0.35056205091258402</v>
      </c>
      <c r="AJ22" s="1">
        <v>7.4324154658981748E-2</v>
      </c>
      <c r="AK22" s="1">
        <v>9.5788323727185404E-2</v>
      </c>
      <c r="AL22" s="4">
        <f t="shared" si="7"/>
        <v>0.17011247838616717</v>
      </c>
      <c r="AM22" s="1">
        <v>9.3728765609990397E-2</v>
      </c>
      <c r="AN22" s="4">
        <f t="shared" si="8"/>
        <v>0.26384124399615755</v>
      </c>
      <c r="AO22" s="1">
        <v>5.8010840537944287E-2</v>
      </c>
      <c r="AP22" s="1">
        <v>5.1198876080691645E-2</v>
      </c>
      <c r="AQ22" s="4">
        <f t="shared" si="9"/>
        <v>0.10920971661863593</v>
      </c>
      <c r="AR22" s="1">
        <v>0.37305096061479348</v>
      </c>
      <c r="AS22" s="1">
        <v>0.46251392891450527</v>
      </c>
      <c r="AT22" s="1">
        <v>0.16443511047070125</v>
      </c>
      <c r="AU22" s="1">
        <f t="shared" si="10"/>
        <v>7.4808688760806916E-2</v>
      </c>
      <c r="AV22" s="1">
        <v>13</v>
      </c>
      <c r="AW22">
        <v>424</v>
      </c>
      <c r="AX22">
        <v>427</v>
      </c>
      <c r="AY22" s="6">
        <v>7</v>
      </c>
      <c r="AZ22" s="6">
        <v>28</v>
      </c>
      <c r="BA22" s="11">
        <f t="shared" si="11"/>
        <v>24.941176470588236</v>
      </c>
      <c r="BB22">
        <f t="shared" si="12"/>
        <v>25.117647058823529</v>
      </c>
      <c r="BC22">
        <f t="shared" si="13"/>
        <v>-3</v>
      </c>
      <c r="BD22">
        <f t="shared" si="14"/>
        <v>-0.17647058823529413</v>
      </c>
      <c r="BE22" s="10">
        <v>7.9804954812438904</v>
      </c>
      <c r="BF22" s="6">
        <v>25.98413</v>
      </c>
      <c r="BG22" s="6">
        <v>28.729040000000001</v>
      </c>
      <c r="BH22" s="6">
        <v>0.60947399999999996</v>
      </c>
      <c r="BI22" s="6">
        <v>0.49206299999999997</v>
      </c>
      <c r="BJ22" s="6"/>
      <c r="BK22" s="6" t="s">
        <v>67</v>
      </c>
      <c r="BL22" s="6" t="s">
        <v>68</v>
      </c>
      <c r="BM22" s="6" t="s">
        <v>69</v>
      </c>
      <c r="BN22" s="6" t="s">
        <v>70</v>
      </c>
    </row>
    <row r="23" spans="1:66">
      <c r="A23" s="1" t="s">
        <v>121</v>
      </c>
      <c r="B23" s="1">
        <v>2022</v>
      </c>
      <c r="C23" s="1" t="s">
        <v>122</v>
      </c>
      <c r="D23" s="1">
        <v>6453362</v>
      </c>
      <c r="E23" s="1">
        <v>5591629</v>
      </c>
      <c r="F23" s="1">
        <v>35197112</v>
      </c>
      <c r="G23" s="1">
        <v>23907622</v>
      </c>
      <c r="H23" s="2">
        <f t="shared" si="0"/>
        <v>59104734</v>
      </c>
      <c r="I23" s="2">
        <f>H23+E23</f>
        <v>64696363</v>
      </c>
      <c r="J23" s="1">
        <v>26861818</v>
      </c>
      <c r="K23" s="2">
        <f t="shared" si="1"/>
        <v>71149725</v>
      </c>
      <c r="L23" s="1">
        <v>98011543</v>
      </c>
      <c r="M23" s="1">
        <v>18729027</v>
      </c>
      <c r="N23" s="1">
        <v>22426262</v>
      </c>
      <c r="O23" s="4">
        <f t="shared" si="2"/>
        <v>41155289</v>
      </c>
      <c r="P23" s="1">
        <v>8224132</v>
      </c>
      <c r="Q23" s="4">
        <f t="shared" si="3"/>
        <v>49379421</v>
      </c>
      <c r="R23" s="1">
        <v>17181924</v>
      </c>
      <c r="S23" s="1">
        <v>19990358</v>
      </c>
      <c r="T23" s="4">
        <f t="shared" si="4"/>
        <v>37172282</v>
      </c>
      <c r="U23" s="1">
        <v>86551703</v>
      </c>
      <c r="V23" s="1">
        <v>2022</v>
      </c>
      <c r="W23" s="8">
        <v>25985134</v>
      </c>
      <c r="X23" s="1">
        <v>0.47099999999999997</v>
      </c>
      <c r="Y23" s="1">
        <v>0</v>
      </c>
      <c r="Z23" s="1">
        <v>0</v>
      </c>
      <c r="AA23" s="1">
        <v>208200000</v>
      </c>
      <c r="AB23" s="1">
        <v>3.0995975024015372E-2</v>
      </c>
      <c r="AC23" s="1">
        <v>2.6857007684918346E-2</v>
      </c>
      <c r="AD23" s="1">
        <v>0.16905433237271855</v>
      </c>
      <c r="AE23" s="1">
        <v>0.11483007684918348</v>
      </c>
      <c r="AF23" s="2">
        <f t="shared" si="5"/>
        <v>0.28388440922190206</v>
      </c>
      <c r="AG23" s="2">
        <f>AF23+AC23</f>
        <v>0.31074141690682039</v>
      </c>
      <c r="AH23" s="1">
        <v>0.12901929875120077</v>
      </c>
      <c r="AI23" s="2">
        <f t="shared" si="6"/>
        <v>0.34173739193083574</v>
      </c>
      <c r="AJ23" s="1">
        <v>8.9956902017291063E-2</v>
      </c>
      <c r="AK23" s="1">
        <v>0.10771499519692604</v>
      </c>
      <c r="AL23" s="4">
        <f t="shared" si="7"/>
        <v>0.1976718972142171</v>
      </c>
      <c r="AM23" s="1">
        <v>3.9501114313160425E-2</v>
      </c>
      <c r="AN23" s="4">
        <f t="shared" si="8"/>
        <v>0.23717301152737752</v>
      </c>
      <c r="AO23" s="1">
        <v>8.252605187319885E-2</v>
      </c>
      <c r="AP23" s="1">
        <v>9.6015168107588852E-2</v>
      </c>
      <c r="AQ23" s="4">
        <f t="shared" si="9"/>
        <v>0.1785412199807877</v>
      </c>
      <c r="AR23" s="1">
        <v>0.41571423150816522</v>
      </c>
      <c r="AS23" s="1">
        <v>0.47075669068203652</v>
      </c>
      <c r="AT23" s="1">
        <v>0.11352907780979826</v>
      </c>
      <c r="AU23" s="1">
        <f t="shared" si="10"/>
        <v>0.12480852065321806</v>
      </c>
      <c r="AV23" s="1">
        <v>8</v>
      </c>
      <c r="AW23">
        <v>364</v>
      </c>
      <c r="AX23">
        <v>347</v>
      </c>
      <c r="AY23" s="6">
        <v>17</v>
      </c>
      <c r="AZ23" s="6">
        <v>11</v>
      </c>
      <c r="BA23" s="11">
        <f t="shared" si="11"/>
        <v>21.411764705882351</v>
      </c>
      <c r="BB23">
        <f t="shared" si="12"/>
        <v>20.411764705882351</v>
      </c>
      <c r="BC23">
        <f t="shared" si="13"/>
        <v>17</v>
      </c>
      <c r="BD23">
        <f t="shared" si="14"/>
        <v>1</v>
      </c>
      <c r="BE23" s="10">
        <v>8.52719227355154</v>
      </c>
      <c r="BF23" s="6">
        <v>27</v>
      </c>
      <c r="BG23" s="6">
        <v>28.102779999999999</v>
      </c>
      <c r="BH23" s="6">
        <v>0.55932499999999996</v>
      </c>
      <c r="BI23" s="6">
        <v>0.62686600000000003</v>
      </c>
      <c r="BJ23" s="6"/>
      <c r="BK23" s="6" t="s">
        <v>80</v>
      </c>
      <c r="BL23" s="6" t="s">
        <v>74</v>
      </c>
      <c r="BM23" s="6" t="s">
        <v>81</v>
      </c>
      <c r="BN23" s="6" t="s">
        <v>75</v>
      </c>
    </row>
    <row r="24" spans="1:66">
      <c r="A24" s="1" t="s">
        <v>123</v>
      </c>
      <c r="B24" s="1">
        <v>2022</v>
      </c>
      <c r="C24" s="1" t="s">
        <v>124</v>
      </c>
      <c r="D24" s="1">
        <v>7103500</v>
      </c>
      <c r="E24" s="1">
        <v>9824543</v>
      </c>
      <c r="F24" s="1">
        <v>25618265</v>
      </c>
      <c r="G24" s="1">
        <v>7923351</v>
      </c>
      <c r="H24" s="2">
        <f t="shared" si="0"/>
        <v>33541616</v>
      </c>
      <c r="I24" s="2">
        <f>H24+E24</f>
        <v>43366159</v>
      </c>
      <c r="J24" s="1">
        <v>31639451</v>
      </c>
      <c r="K24" s="2">
        <f t="shared" si="1"/>
        <v>50469659</v>
      </c>
      <c r="L24" s="1">
        <v>82109110</v>
      </c>
      <c r="M24" s="1">
        <v>11178334</v>
      </c>
      <c r="N24" s="1">
        <v>22420038</v>
      </c>
      <c r="O24" s="4">
        <f t="shared" si="2"/>
        <v>33598372</v>
      </c>
      <c r="P24" s="1">
        <v>11770496</v>
      </c>
      <c r="Q24" s="4">
        <f t="shared" si="3"/>
        <v>45368868</v>
      </c>
      <c r="R24" s="1">
        <v>11076225</v>
      </c>
      <c r="S24" s="1">
        <v>15450274</v>
      </c>
      <c r="T24" s="4">
        <f t="shared" si="4"/>
        <v>26526499</v>
      </c>
      <c r="U24" s="1">
        <v>71895367</v>
      </c>
      <c r="V24" s="1">
        <v>2022</v>
      </c>
      <c r="W24" s="8">
        <v>29762067</v>
      </c>
      <c r="X24" s="1">
        <v>0.41199999999999998</v>
      </c>
      <c r="Y24" s="1">
        <v>0</v>
      </c>
      <c r="Z24" s="1">
        <v>0</v>
      </c>
      <c r="AA24" s="1">
        <v>208200000</v>
      </c>
      <c r="AB24" s="1">
        <v>3.4118635926993275E-2</v>
      </c>
      <c r="AC24" s="1">
        <v>4.7188006724303552E-2</v>
      </c>
      <c r="AD24" s="1">
        <v>0.12304642170989433</v>
      </c>
      <c r="AE24" s="1">
        <v>3.8056440922190203E-2</v>
      </c>
      <c r="AF24" s="2">
        <f t="shared" si="5"/>
        <v>0.16110286263208454</v>
      </c>
      <c r="AG24" s="2">
        <f>AF24+AC24</f>
        <v>0.20829086935638808</v>
      </c>
      <c r="AH24" s="1">
        <v>0.15196662343900097</v>
      </c>
      <c r="AI24" s="2">
        <f t="shared" si="6"/>
        <v>0.24240950528338137</v>
      </c>
      <c r="AJ24" s="1">
        <v>5.3690365033621519E-2</v>
      </c>
      <c r="AK24" s="1">
        <v>0.10768510086455331</v>
      </c>
      <c r="AL24" s="4">
        <f t="shared" si="7"/>
        <v>0.16137546589817484</v>
      </c>
      <c r="AM24" s="1">
        <v>5.6534562920268969E-2</v>
      </c>
      <c r="AN24" s="4">
        <f t="shared" si="8"/>
        <v>0.21791002881844379</v>
      </c>
      <c r="AO24" s="1">
        <v>5.3199927953890488E-2</v>
      </c>
      <c r="AP24" s="1">
        <v>7.4208808837656098E-2</v>
      </c>
      <c r="AQ24" s="4">
        <f t="shared" si="9"/>
        <v>0.12740873679154657</v>
      </c>
      <c r="AR24" s="1">
        <v>0.34531876560999042</v>
      </c>
      <c r="AS24" s="1">
        <v>0.39437612872238231</v>
      </c>
      <c r="AT24" s="1">
        <v>0.26030510566762732</v>
      </c>
      <c r="AU24" s="1">
        <f t="shared" si="10"/>
        <v>0.14294940922190202</v>
      </c>
      <c r="AV24" s="1">
        <v>7</v>
      </c>
      <c r="AW24">
        <v>330</v>
      </c>
      <c r="AX24">
        <v>345</v>
      </c>
      <c r="AY24" s="6">
        <v>22</v>
      </c>
      <c r="AZ24" s="6">
        <v>9</v>
      </c>
      <c r="BA24" s="11">
        <f t="shared" si="11"/>
        <v>19.411764705882351</v>
      </c>
      <c r="BB24">
        <f t="shared" si="12"/>
        <v>20.294117647058822</v>
      </c>
      <c r="BC24">
        <f t="shared" si="13"/>
        <v>-15</v>
      </c>
      <c r="BD24">
        <f t="shared" si="14"/>
        <v>-0.88235294117647056</v>
      </c>
      <c r="BE24" s="10">
        <v>7.6524774057663603</v>
      </c>
      <c r="BF24" s="6">
        <v>26.984850000000002</v>
      </c>
      <c r="BG24" s="6">
        <v>28.19059</v>
      </c>
      <c r="BH24" s="6">
        <v>0.53875799999999996</v>
      </c>
      <c r="BI24" s="6">
        <v>0.62121199999999999</v>
      </c>
      <c r="BJ24" s="6"/>
      <c r="BK24" s="6" t="s">
        <v>80</v>
      </c>
      <c r="BL24" s="6" t="s">
        <v>74</v>
      </c>
      <c r="BM24" s="6" t="s">
        <v>81</v>
      </c>
      <c r="BN24" s="6" t="s">
        <v>75</v>
      </c>
    </row>
    <row r="25" spans="1:66">
      <c r="A25" s="1" t="s">
        <v>125</v>
      </c>
      <c r="B25" s="1">
        <v>2022</v>
      </c>
      <c r="C25" s="1" t="s">
        <v>126</v>
      </c>
      <c r="D25" s="1">
        <v>11387502</v>
      </c>
      <c r="E25" s="1">
        <v>9341218</v>
      </c>
      <c r="F25" s="1">
        <v>33814024</v>
      </c>
      <c r="G25" s="1">
        <v>964500</v>
      </c>
      <c r="H25" s="2">
        <f t="shared" si="0"/>
        <v>34778524</v>
      </c>
      <c r="I25" s="2">
        <f>H25+E25</f>
        <v>44119742</v>
      </c>
      <c r="J25" s="1">
        <v>29496146</v>
      </c>
      <c r="K25" s="2">
        <f t="shared" si="1"/>
        <v>55507244</v>
      </c>
      <c r="L25" s="1">
        <v>85003390</v>
      </c>
      <c r="M25" s="1">
        <v>22368816</v>
      </c>
      <c r="N25" s="1">
        <v>11294138</v>
      </c>
      <c r="O25" s="4">
        <f t="shared" si="2"/>
        <v>33662954</v>
      </c>
      <c r="P25" s="1">
        <v>3987964</v>
      </c>
      <c r="Q25" s="4">
        <f t="shared" si="3"/>
        <v>37650918</v>
      </c>
      <c r="R25" s="1">
        <v>7641916</v>
      </c>
      <c r="S25" s="1">
        <v>15143232</v>
      </c>
      <c r="T25" s="4">
        <f t="shared" si="4"/>
        <v>22785148</v>
      </c>
      <c r="U25" s="1">
        <v>60436066</v>
      </c>
      <c r="V25" s="1">
        <v>2022</v>
      </c>
      <c r="W25" s="8">
        <v>14742873</v>
      </c>
      <c r="X25" s="1">
        <v>0.55900000000000005</v>
      </c>
      <c r="Y25" s="1">
        <v>1</v>
      </c>
      <c r="Z25" s="1">
        <v>0</v>
      </c>
      <c r="AA25" s="1">
        <v>208200000</v>
      </c>
      <c r="AB25" s="1">
        <v>5.46950144092219E-2</v>
      </c>
      <c r="AC25" s="1">
        <v>4.4866560999039386E-2</v>
      </c>
      <c r="AD25" s="1">
        <v>0.16241125840537946</v>
      </c>
      <c r="AE25" s="1">
        <v>4.6325648414985588E-3</v>
      </c>
      <c r="AF25" s="2">
        <f t="shared" si="5"/>
        <v>0.16704382324687803</v>
      </c>
      <c r="AG25" s="2">
        <f>AF25+AC25</f>
        <v>0.2119103842459174</v>
      </c>
      <c r="AH25" s="1">
        <v>0.14167217098943324</v>
      </c>
      <c r="AI25" s="2">
        <f t="shared" si="6"/>
        <v>0.26660539865513927</v>
      </c>
      <c r="AJ25" s="1">
        <v>0.10743907780979826</v>
      </c>
      <c r="AK25" s="1">
        <v>5.4246580211335257E-2</v>
      </c>
      <c r="AL25" s="4">
        <f t="shared" si="7"/>
        <v>0.16168565802113352</v>
      </c>
      <c r="AM25" s="1">
        <v>1.9154486071085493E-2</v>
      </c>
      <c r="AN25" s="4">
        <f t="shared" si="8"/>
        <v>0.18084014409221902</v>
      </c>
      <c r="AO25" s="1">
        <v>3.6704687800192121E-2</v>
      </c>
      <c r="AP25" s="1">
        <v>7.2734063400576365E-2</v>
      </c>
      <c r="AQ25" s="4">
        <f t="shared" si="9"/>
        <v>0.10943875120076849</v>
      </c>
      <c r="AR25" s="1">
        <v>0.2902788952929875</v>
      </c>
      <c r="AS25" s="1">
        <v>0.40827756964457251</v>
      </c>
      <c r="AT25" s="1">
        <v>0.30144353506244004</v>
      </c>
      <c r="AU25" s="1">
        <f t="shared" si="10"/>
        <v>7.0811109510086456E-2</v>
      </c>
      <c r="AV25" s="1">
        <v>9</v>
      </c>
      <c r="AW25">
        <v>365</v>
      </c>
      <c r="AX25">
        <v>371</v>
      </c>
      <c r="AY25" s="6">
        <v>15</v>
      </c>
      <c r="AZ25" s="6">
        <v>17</v>
      </c>
      <c r="BA25" s="11">
        <f t="shared" si="11"/>
        <v>21.470588235294116</v>
      </c>
      <c r="BB25">
        <f t="shared" si="12"/>
        <v>21.823529411764707</v>
      </c>
      <c r="BC25">
        <f t="shared" si="13"/>
        <v>-6</v>
      </c>
      <c r="BD25">
        <f t="shared" si="14"/>
        <v>-0.35294117647058826</v>
      </c>
      <c r="BE25" s="10">
        <v>7.8984909624906798</v>
      </c>
      <c r="BF25" s="6">
        <v>25.671880000000002</v>
      </c>
      <c r="BG25" s="6">
        <v>26.405280000000001</v>
      </c>
      <c r="BH25" s="6">
        <v>0.60062899999999997</v>
      </c>
      <c r="BI25" s="6">
        <v>0.4375</v>
      </c>
      <c r="BJ25" s="6"/>
      <c r="BK25" s="6" t="s">
        <v>73</v>
      </c>
      <c r="BL25" s="6" t="s">
        <v>68</v>
      </c>
      <c r="BM25" s="6" t="s">
        <v>99</v>
      </c>
      <c r="BN25" s="6" t="s">
        <v>93</v>
      </c>
    </row>
    <row r="26" spans="1:66">
      <c r="A26" s="1" t="s">
        <v>127</v>
      </c>
      <c r="B26" s="1">
        <v>2022</v>
      </c>
      <c r="C26" s="1" t="s">
        <v>128</v>
      </c>
      <c r="D26" s="1">
        <v>14312222</v>
      </c>
      <c r="E26" s="1">
        <v>4608666</v>
      </c>
      <c r="F26" s="1">
        <v>25719256</v>
      </c>
      <c r="G26" s="1">
        <v>8380587</v>
      </c>
      <c r="H26" s="2">
        <f t="shared" si="0"/>
        <v>34099843</v>
      </c>
      <c r="I26" s="2">
        <f>H26+E26</f>
        <v>38708509</v>
      </c>
      <c r="J26" s="1">
        <v>46776978</v>
      </c>
      <c r="K26" s="2">
        <f t="shared" si="1"/>
        <v>53020731</v>
      </c>
      <c r="L26" s="1">
        <v>99797709</v>
      </c>
      <c r="M26" s="1">
        <v>20430097</v>
      </c>
      <c r="N26" s="1">
        <v>33306114</v>
      </c>
      <c r="O26" s="4">
        <f t="shared" si="2"/>
        <v>53736211</v>
      </c>
      <c r="P26" s="1">
        <v>10709069</v>
      </c>
      <c r="Q26" s="4">
        <f t="shared" si="3"/>
        <v>64445280</v>
      </c>
      <c r="R26" s="1">
        <v>8834308</v>
      </c>
      <c r="S26" s="1">
        <v>16520137</v>
      </c>
      <c r="T26" s="4">
        <f t="shared" si="4"/>
        <v>25354445</v>
      </c>
      <c r="U26" s="1">
        <v>89799725</v>
      </c>
      <c r="V26" s="1">
        <v>2022</v>
      </c>
      <c r="W26" s="8">
        <v>33842715</v>
      </c>
      <c r="X26" s="1">
        <v>0.41199999999999998</v>
      </c>
      <c r="Y26" s="1">
        <v>0</v>
      </c>
      <c r="Z26" s="1">
        <v>0</v>
      </c>
      <c r="AA26" s="1">
        <v>208200000</v>
      </c>
      <c r="AB26" s="1">
        <v>6.8742660902977912E-2</v>
      </c>
      <c r="AC26" s="1">
        <v>2.2135763688760808E-2</v>
      </c>
      <c r="AD26" s="1">
        <v>0.12353148895292987</v>
      </c>
      <c r="AE26" s="1">
        <v>4.0252579250720462E-2</v>
      </c>
      <c r="AF26" s="2">
        <f t="shared" si="5"/>
        <v>0.16378406820365032</v>
      </c>
      <c r="AG26" s="2">
        <f>AF26+AC26</f>
        <v>0.18591983189241112</v>
      </c>
      <c r="AH26" s="1">
        <v>0.22467328530259367</v>
      </c>
      <c r="AI26" s="2">
        <f t="shared" si="6"/>
        <v>0.25466249279538905</v>
      </c>
      <c r="AJ26" s="1">
        <v>9.8127267050912584E-2</v>
      </c>
      <c r="AK26" s="1">
        <v>0.15997172910662824</v>
      </c>
      <c r="AL26" s="4">
        <f t="shared" si="7"/>
        <v>0.25809899615754084</v>
      </c>
      <c r="AM26" s="1">
        <v>5.1436450528338139E-2</v>
      </c>
      <c r="AN26" s="4">
        <f t="shared" si="8"/>
        <v>0.30953544668587896</v>
      </c>
      <c r="AO26" s="1">
        <v>4.2431834774255522E-2</v>
      </c>
      <c r="AP26" s="1">
        <v>7.9347439961575408E-2</v>
      </c>
      <c r="AQ26" s="4">
        <f t="shared" si="9"/>
        <v>0.12177927473583093</v>
      </c>
      <c r="AR26" s="1">
        <v>0.4313147214217099</v>
      </c>
      <c r="AS26" s="1">
        <v>0.47933577809798272</v>
      </c>
      <c r="AT26" s="1">
        <v>8.934950048030732E-2</v>
      </c>
      <c r="AU26" s="1">
        <f t="shared" si="10"/>
        <v>0.16254906340057637</v>
      </c>
      <c r="AV26" s="1">
        <v>7</v>
      </c>
      <c r="AW26">
        <v>296</v>
      </c>
      <c r="AX26">
        <v>316</v>
      </c>
      <c r="AY26" s="6">
        <v>29</v>
      </c>
      <c r="AZ26" s="6">
        <v>4</v>
      </c>
      <c r="BA26" s="11">
        <f t="shared" si="11"/>
        <v>17.411764705882351</v>
      </c>
      <c r="BB26">
        <f t="shared" si="12"/>
        <v>18.588235294117649</v>
      </c>
      <c r="BC26">
        <f t="shared" si="13"/>
        <v>-20</v>
      </c>
      <c r="BD26">
        <f t="shared" si="14"/>
        <v>-1.1764705882352942</v>
      </c>
      <c r="BE26" s="10">
        <v>7.5158032076894496</v>
      </c>
      <c r="BF26" s="6">
        <v>26.378789999999999</v>
      </c>
      <c r="BG26" s="6">
        <v>26.807089999999999</v>
      </c>
      <c r="BH26" s="6">
        <v>0.55697600000000003</v>
      </c>
      <c r="BI26" s="6">
        <v>0.57575799999999999</v>
      </c>
      <c r="BJ26" s="6"/>
      <c r="BK26" s="6" t="s">
        <v>73</v>
      </c>
      <c r="BL26" s="6" t="s">
        <v>74</v>
      </c>
      <c r="BM26" s="6" t="s">
        <v>75</v>
      </c>
      <c r="BN26" s="6" t="s">
        <v>75</v>
      </c>
    </row>
    <row r="27" spans="1:66">
      <c r="A27" s="1" t="s">
        <v>129</v>
      </c>
      <c r="B27" s="1">
        <v>2022</v>
      </c>
      <c r="C27" s="1" t="s">
        <v>130</v>
      </c>
      <c r="D27" s="1">
        <v>5008230</v>
      </c>
      <c r="E27" s="1">
        <v>5245906</v>
      </c>
      <c r="F27" s="1">
        <v>13659798</v>
      </c>
      <c r="G27" s="1">
        <v>6148811</v>
      </c>
      <c r="H27" s="2">
        <f t="shared" si="0"/>
        <v>19808609</v>
      </c>
      <c r="I27" s="2">
        <f>H27+E27</f>
        <v>25054515</v>
      </c>
      <c r="J27" s="1">
        <v>37545173</v>
      </c>
      <c r="K27" s="2">
        <f t="shared" si="1"/>
        <v>30062745</v>
      </c>
      <c r="L27" s="1">
        <v>67607918</v>
      </c>
      <c r="M27" s="1">
        <v>30816368</v>
      </c>
      <c r="N27" s="1">
        <v>21673435</v>
      </c>
      <c r="O27" s="4">
        <f t="shared" si="2"/>
        <v>52489803</v>
      </c>
      <c r="P27" s="1">
        <v>6090121</v>
      </c>
      <c r="Q27" s="4">
        <f t="shared" si="3"/>
        <v>58579924</v>
      </c>
      <c r="R27" s="1">
        <v>5344794</v>
      </c>
      <c r="S27" s="1">
        <v>17532680</v>
      </c>
      <c r="T27" s="4">
        <f t="shared" si="4"/>
        <v>22877474</v>
      </c>
      <c r="U27" s="1">
        <v>81457398</v>
      </c>
      <c r="V27" s="1">
        <v>2022</v>
      </c>
      <c r="W27" s="8">
        <v>7238058</v>
      </c>
      <c r="X27" s="1">
        <v>0.82399999999999995</v>
      </c>
      <c r="Y27" s="1">
        <v>1</v>
      </c>
      <c r="Z27" s="1">
        <v>0</v>
      </c>
      <c r="AA27" s="1">
        <v>208200000</v>
      </c>
      <c r="AB27" s="1">
        <v>2.4054899135446686E-2</v>
      </c>
      <c r="AC27" s="1">
        <v>2.5196474543707974E-2</v>
      </c>
      <c r="AD27" s="1">
        <v>6.5609020172910662E-2</v>
      </c>
      <c r="AE27" s="1">
        <v>2.953319404418828E-2</v>
      </c>
      <c r="AF27" s="2">
        <f t="shared" si="5"/>
        <v>9.5142214217098939E-2</v>
      </c>
      <c r="AG27" s="2">
        <f>AF27+AC27</f>
        <v>0.12033868876080692</v>
      </c>
      <c r="AH27" s="1">
        <v>0.18033224303554274</v>
      </c>
      <c r="AI27" s="2">
        <f t="shared" si="6"/>
        <v>0.14439358789625362</v>
      </c>
      <c r="AJ27" s="1">
        <v>0.1480132949087416</v>
      </c>
      <c r="AK27" s="1">
        <v>0.10409911143131605</v>
      </c>
      <c r="AL27" s="4">
        <f t="shared" si="7"/>
        <v>0.25211240634005766</v>
      </c>
      <c r="AM27" s="1">
        <v>2.9251301633045148E-2</v>
      </c>
      <c r="AN27" s="4">
        <f t="shared" si="8"/>
        <v>0.28136370797310278</v>
      </c>
      <c r="AO27" s="1">
        <v>2.5671440922190203E-2</v>
      </c>
      <c r="AP27" s="1">
        <v>8.421075888568684E-2</v>
      </c>
      <c r="AQ27" s="4">
        <f t="shared" si="9"/>
        <v>0.10988219980787704</v>
      </c>
      <c r="AR27" s="1">
        <v>0.39124590778097984</v>
      </c>
      <c r="AS27" s="1">
        <v>0.32472583093179636</v>
      </c>
      <c r="AT27" s="1">
        <v>0.2840282612872238</v>
      </c>
      <c r="AU27" s="1">
        <f t="shared" si="10"/>
        <v>3.4764927953890488E-2</v>
      </c>
      <c r="AV27" s="1">
        <v>14</v>
      </c>
      <c r="AW27">
        <v>477</v>
      </c>
      <c r="AX27">
        <v>344</v>
      </c>
      <c r="AY27" s="6">
        <v>2</v>
      </c>
      <c r="AZ27" s="6">
        <v>8</v>
      </c>
      <c r="BA27" s="11">
        <f t="shared" si="11"/>
        <v>28.058823529411764</v>
      </c>
      <c r="BB27">
        <f t="shared" si="12"/>
        <v>20.235294117647058</v>
      </c>
      <c r="BC27">
        <f t="shared" si="13"/>
        <v>133</v>
      </c>
      <c r="BD27">
        <f t="shared" si="14"/>
        <v>7.8235294117647056</v>
      </c>
      <c r="BE27" s="10">
        <v>11.698033669679401</v>
      </c>
      <c r="BF27" s="6">
        <v>26.38983</v>
      </c>
      <c r="BG27" s="6">
        <v>28.25076</v>
      </c>
      <c r="BH27" s="6">
        <v>0.51619499999999996</v>
      </c>
      <c r="BI27" s="6">
        <v>0.62711899999999998</v>
      </c>
      <c r="BJ27" s="6"/>
      <c r="BK27" s="6" t="s">
        <v>80</v>
      </c>
      <c r="BL27" s="6" t="s">
        <v>74</v>
      </c>
      <c r="BM27" s="6" t="s">
        <v>81</v>
      </c>
      <c r="BN27" s="6" t="s">
        <v>75</v>
      </c>
    </row>
    <row r="28" spans="1:66">
      <c r="A28" s="1" t="s">
        <v>131</v>
      </c>
      <c r="B28" s="1">
        <v>2022</v>
      </c>
      <c r="C28" s="1" t="s">
        <v>132</v>
      </c>
      <c r="D28" s="1">
        <v>10257801</v>
      </c>
      <c r="E28" s="1">
        <v>5678067</v>
      </c>
      <c r="F28" s="1">
        <v>15219777</v>
      </c>
      <c r="G28" s="1">
        <v>3360462</v>
      </c>
      <c r="H28" s="2">
        <f t="shared" si="0"/>
        <v>18580239</v>
      </c>
      <c r="I28" s="2">
        <f>H28+E28</f>
        <v>24258306</v>
      </c>
      <c r="J28" s="1">
        <v>18038971</v>
      </c>
      <c r="K28" s="2">
        <f t="shared" si="1"/>
        <v>34516107</v>
      </c>
      <c r="L28" s="1">
        <v>52555078</v>
      </c>
      <c r="M28" s="1">
        <v>35843671</v>
      </c>
      <c r="N28" s="1">
        <v>27954767</v>
      </c>
      <c r="O28" s="4">
        <f t="shared" si="2"/>
        <v>63798438</v>
      </c>
      <c r="P28" s="1">
        <v>16767187</v>
      </c>
      <c r="Q28" s="4">
        <f t="shared" si="3"/>
        <v>80565625</v>
      </c>
      <c r="R28" s="1">
        <v>13290212</v>
      </c>
      <c r="S28" s="1">
        <v>16048278</v>
      </c>
      <c r="T28" s="4">
        <f t="shared" si="4"/>
        <v>29338490</v>
      </c>
      <c r="U28" s="1">
        <v>109904115</v>
      </c>
      <c r="V28" s="1">
        <v>2022</v>
      </c>
      <c r="W28" s="8">
        <v>13161363</v>
      </c>
      <c r="X28" s="1">
        <v>0.52900000000000003</v>
      </c>
      <c r="Y28" s="1">
        <v>0</v>
      </c>
      <c r="Z28" s="1">
        <v>0</v>
      </c>
      <c r="AA28" s="1">
        <v>208200000</v>
      </c>
      <c r="AB28" s="1">
        <v>4.9268976945244958E-2</v>
      </c>
      <c r="AC28" s="1">
        <v>2.7272175792507205E-2</v>
      </c>
      <c r="AD28" s="1">
        <v>7.3101714697406339E-2</v>
      </c>
      <c r="AE28" s="1">
        <v>1.6140547550432278E-2</v>
      </c>
      <c r="AF28" s="2">
        <f t="shared" si="5"/>
        <v>8.9242262247838613E-2</v>
      </c>
      <c r="AG28" s="2">
        <f>AF28+AC28</f>
        <v>0.11651443804034582</v>
      </c>
      <c r="AH28" s="1">
        <v>8.6642512007684913E-2</v>
      </c>
      <c r="AI28" s="2">
        <f t="shared" si="6"/>
        <v>0.16578341498559079</v>
      </c>
      <c r="AJ28" s="1">
        <v>0.17215980307396733</v>
      </c>
      <c r="AK28" s="1">
        <v>0.13426881364073007</v>
      </c>
      <c r="AL28" s="4">
        <f t="shared" si="7"/>
        <v>0.3064286167146974</v>
      </c>
      <c r="AM28" s="1">
        <v>8.0534039385206535E-2</v>
      </c>
      <c r="AN28" s="4">
        <f t="shared" si="8"/>
        <v>0.38696265609990393</v>
      </c>
      <c r="AO28" s="1">
        <v>6.3833871277617679E-2</v>
      </c>
      <c r="AP28" s="1">
        <v>7.7081066282420743E-2</v>
      </c>
      <c r="AQ28" s="4">
        <f t="shared" si="9"/>
        <v>0.14091493756003842</v>
      </c>
      <c r="AR28" s="1">
        <v>0.52787759365994236</v>
      </c>
      <c r="AS28" s="1">
        <v>0.25242592699327571</v>
      </c>
      <c r="AT28" s="1">
        <v>0.21969647934678194</v>
      </c>
      <c r="AU28" s="1">
        <f t="shared" si="10"/>
        <v>6.3214999999999993E-2</v>
      </c>
      <c r="AV28" s="1">
        <v>9</v>
      </c>
      <c r="AW28">
        <v>308</v>
      </c>
      <c r="AX28">
        <v>346</v>
      </c>
      <c r="AY28" s="6">
        <v>26</v>
      </c>
      <c r="AZ28" s="6">
        <v>10</v>
      </c>
      <c r="BA28" s="11">
        <f t="shared" si="11"/>
        <v>18.117647058823529</v>
      </c>
      <c r="BB28">
        <f t="shared" si="12"/>
        <v>20.352941176470587</v>
      </c>
      <c r="BC28">
        <f t="shared" si="13"/>
        <v>-38</v>
      </c>
      <c r="BD28">
        <f t="shared" si="14"/>
        <v>-2.2352941176470589</v>
      </c>
      <c r="BE28" s="10">
        <v>7.0237760942408096</v>
      </c>
      <c r="BF28" s="6">
        <v>26.274190000000001</v>
      </c>
      <c r="BG28" s="6">
        <v>27.57264</v>
      </c>
      <c r="BH28" s="6">
        <v>0.54626600000000003</v>
      </c>
      <c r="BI28" s="6">
        <v>0.51612899999999995</v>
      </c>
      <c r="BJ28" s="6"/>
      <c r="BK28" s="6" t="s">
        <v>73</v>
      </c>
      <c r="BL28" s="6" t="s">
        <v>74</v>
      </c>
      <c r="BM28" s="6" t="s">
        <v>75</v>
      </c>
      <c r="BN28" s="6" t="s">
        <v>75</v>
      </c>
    </row>
    <row r="29" spans="1:66">
      <c r="A29" s="1" t="s">
        <v>133</v>
      </c>
      <c r="B29" s="1">
        <v>2022</v>
      </c>
      <c r="C29" s="1" t="s">
        <v>134</v>
      </c>
      <c r="D29" s="1">
        <v>22715235</v>
      </c>
      <c r="E29" s="1">
        <v>3134553</v>
      </c>
      <c r="F29" s="1">
        <v>15039393</v>
      </c>
      <c r="G29" s="1">
        <v>10376509</v>
      </c>
      <c r="H29" s="2">
        <f t="shared" si="0"/>
        <v>25415902</v>
      </c>
      <c r="I29" s="2">
        <f>H29+E29</f>
        <v>28550455</v>
      </c>
      <c r="J29" s="1">
        <v>29524154</v>
      </c>
      <c r="K29" s="2">
        <f t="shared" si="1"/>
        <v>51265690</v>
      </c>
      <c r="L29" s="1">
        <v>80789844</v>
      </c>
      <c r="M29" s="1">
        <v>18535038</v>
      </c>
      <c r="N29" s="1">
        <v>25268938</v>
      </c>
      <c r="O29" s="4">
        <f t="shared" si="2"/>
        <v>43803976</v>
      </c>
      <c r="P29" s="1">
        <v>16541317</v>
      </c>
      <c r="Q29" s="4">
        <f t="shared" si="3"/>
        <v>60345293</v>
      </c>
      <c r="R29" s="1">
        <v>17549904</v>
      </c>
      <c r="S29" s="1">
        <v>14537091</v>
      </c>
      <c r="T29" s="4">
        <f t="shared" si="4"/>
        <v>32086995</v>
      </c>
      <c r="U29" s="1">
        <v>92432288</v>
      </c>
      <c r="V29" s="1">
        <v>2022</v>
      </c>
      <c r="W29" s="8">
        <v>18879035</v>
      </c>
      <c r="X29" s="1">
        <v>0.76500000000000001</v>
      </c>
      <c r="Y29" s="1">
        <v>1</v>
      </c>
      <c r="Z29" s="1">
        <v>0</v>
      </c>
      <c r="AA29" s="1">
        <v>208200000</v>
      </c>
      <c r="AB29" s="1">
        <v>0.10910295389048992</v>
      </c>
      <c r="AC29" s="1">
        <v>1.5055489913544669E-2</v>
      </c>
      <c r="AD29" s="1">
        <v>7.2235317002881841E-2</v>
      </c>
      <c r="AE29" s="1">
        <v>4.9839140249759849E-2</v>
      </c>
      <c r="AF29" s="2">
        <f t="shared" si="5"/>
        <v>0.12207445725264168</v>
      </c>
      <c r="AG29" s="2">
        <f>AF29+AC29</f>
        <v>0.13712994716618634</v>
      </c>
      <c r="AH29" s="1">
        <v>0.14180669548511046</v>
      </c>
      <c r="AI29" s="2">
        <f t="shared" si="6"/>
        <v>0.24623290105667631</v>
      </c>
      <c r="AJ29" s="1">
        <v>8.9025158501440924E-2</v>
      </c>
      <c r="AK29" s="1">
        <v>0.12136857829010567</v>
      </c>
      <c r="AL29" s="4">
        <f t="shared" si="7"/>
        <v>0.2103937367915466</v>
      </c>
      <c r="AM29" s="1">
        <v>7.9449169068203651E-2</v>
      </c>
      <c r="AN29" s="4">
        <f t="shared" si="8"/>
        <v>0.28984290585975026</v>
      </c>
      <c r="AO29" s="1">
        <v>8.4293487031700282E-2</v>
      </c>
      <c r="AP29" s="1">
        <v>6.9822723342939486E-2</v>
      </c>
      <c r="AQ29" s="4">
        <f t="shared" si="9"/>
        <v>0.15411621037463977</v>
      </c>
      <c r="AR29" s="1">
        <v>0.44395911623438999</v>
      </c>
      <c r="AS29" s="1">
        <v>0.38803959654178677</v>
      </c>
      <c r="AT29" s="1">
        <v>0.16800128722382324</v>
      </c>
      <c r="AU29" s="1">
        <f t="shared" si="10"/>
        <v>9.0677401536983671E-2</v>
      </c>
      <c r="AV29" s="1">
        <v>13</v>
      </c>
      <c r="AW29">
        <v>450</v>
      </c>
      <c r="AX29">
        <v>277</v>
      </c>
      <c r="AY29" s="6">
        <v>6</v>
      </c>
      <c r="AZ29" s="6">
        <v>1</v>
      </c>
      <c r="BA29" s="11">
        <f t="shared" si="11"/>
        <v>26.470588235294116</v>
      </c>
      <c r="BB29">
        <f t="shared" si="12"/>
        <v>16.294117647058822</v>
      </c>
      <c r="BC29">
        <f t="shared" si="13"/>
        <v>173</v>
      </c>
      <c r="BD29">
        <f t="shared" si="14"/>
        <v>10.176470588235293</v>
      </c>
      <c r="BE29" s="10">
        <v>12.7914272552241</v>
      </c>
      <c r="BF29" s="6">
        <v>26.933330000000002</v>
      </c>
      <c r="BG29" s="6">
        <v>27.917200000000001</v>
      </c>
      <c r="BH29" s="6">
        <v>0.54297099999999998</v>
      </c>
      <c r="BI29" s="6">
        <v>0.65</v>
      </c>
      <c r="BJ29" s="6"/>
      <c r="BK29" s="6" t="s">
        <v>80</v>
      </c>
      <c r="BL29" s="6" t="s">
        <v>74</v>
      </c>
      <c r="BM29" s="6" t="s">
        <v>81</v>
      </c>
      <c r="BN29" s="6" t="s">
        <v>75</v>
      </c>
    </row>
    <row r="30" spans="1:66">
      <c r="A30" s="1" t="s">
        <v>135</v>
      </c>
      <c r="B30" s="1">
        <v>2022</v>
      </c>
      <c r="C30" s="1" t="s">
        <v>136</v>
      </c>
      <c r="D30" s="1">
        <v>5309222</v>
      </c>
      <c r="E30" s="1">
        <v>9510195</v>
      </c>
      <c r="F30" s="1">
        <v>23912230</v>
      </c>
      <c r="G30" s="1">
        <v>7941161</v>
      </c>
      <c r="H30" s="2">
        <f t="shared" si="0"/>
        <v>31853391</v>
      </c>
      <c r="I30" s="2">
        <f>H30+E30</f>
        <v>41363586</v>
      </c>
      <c r="J30" s="1">
        <v>23568919</v>
      </c>
      <c r="K30" s="2">
        <f t="shared" si="1"/>
        <v>46672808</v>
      </c>
      <c r="L30" s="1">
        <v>70241727</v>
      </c>
      <c r="M30" s="1">
        <v>24351722</v>
      </c>
      <c r="N30" s="1">
        <v>16138952</v>
      </c>
      <c r="O30" s="4">
        <f t="shared" si="2"/>
        <v>40490674</v>
      </c>
      <c r="P30" s="1">
        <v>10206077</v>
      </c>
      <c r="Q30" s="4">
        <f t="shared" si="3"/>
        <v>50696751</v>
      </c>
      <c r="R30" s="1">
        <v>18131252</v>
      </c>
      <c r="S30" s="1">
        <v>7838060</v>
      </c>
      <c r="T30" s="4">
        <f t="shared" si="4"/>
        <v>25969312</v>
      </c>
      <c r="U30" s="1">
        <v>76666063</v>
      </c>
      <c r="V30" s="1">
        <v>2022</v>
      </c>
      <c r="W30" s="8">
        <v>35451072</v>
      </c>
      <c r="X30" s="1">
        <v>0.52900000000000003</v>
      </c>
      <c r="Y30" s="1">
        <v>1</v>
      </c>
      <c r="Z30" s="1">
        <v>0</v>
      </c>
      <c r="AA30" s="1">
        <v>208200000</v>
      </c>
      <c r="AB30" s="1">
        <v>2.5500585975024016E-2</v>
      </c>
      <c r="AC30" s="1">
        <v>4.5678170028818445E-2</v>
      </c>
      <c r="AD30" s="1">
        <v>0.11485220941402498</v>
      </c>
      <c r="AE30" s="1">
        <v>3.8141983669548511E-2</v>
      </c>
      <c r="AF30" s="2">
        <f t="shared" si="5"/>
        <v>0.15299419308357348</v>
      </c>
      <c r="AG30" s="2">
        <f>AF30+AC30</f>
        <v>0.19867236311239192</v>
      </c>
      <c r="AH30" s="1">
        <v>0.11320326128722383</v>
      </c>
      <c r="AI30" s="2">
        <f t="shared" si="6"/>
        <v>0.22417294908741597</v>
      </c>
      <c r="AJ30" s="1">
        <v>0.11696312199807878</v>
      </c>
      <c r="AK30" s="1">
        <v>7.7516580211335256E-2</v>
      </c>
      <c r="AL30" s="4">
        <f t="shared" si="7"/>
        <v>0.19447970220941402</v>
      </c>
      <c r="AM30" s="1">
        <v>4.9020542747358307E-2</v>
      </c>
      <c r="AN30" s="4">
        <f t="shared" si="8"/>
        <v>0.24350024495677233</v>
      </c>
      <c r="AO30" s="1">
        <v>8.7085744476464944E-2</v>
      </c>
      <c r="AP30" s="1">
        <v>3.7646781940441881E-2</v>
      </c>
      <c r="AQ30" s="4">
        <f t="shared" si="9"/>
        <v>0.12473252641690682</v>
      </c>
      <c r="AR30" s="1">
        <v>0.36823277137367916</v>
      </c>
      <c r="AS30" s="1">
        <v>0.33737621037463977</v>
      </c>
      <c r="AT30" s="1">
        <v>0.29439101825168112</v>
      </c>
      <c r="AU30" s="1">
        <f t="shared" si="10"/>
        <v>0.17027412103746398</v>
      </c>
      <c r="AV30" s="1">
        <v>9</v>
      </c>
      <c r="AW30">
        <v>407</v>
      </c>
      <c r="AX30">
        <v>401</v>
      </c>
      <c r="AY30" s="6">
        <v>9</v>
      </c>
      <c r="AZ30" s="6">
        <v>25</v>
      </c>
      <c r="BA30" s="11">
        <f t="shared" si="11"/>
        <v>23.941176470588236</v>
      </c>
      <c r="BB30">
        <f t="shared" si="12"/>
        <v>23.588235294117649</v>
      </c>
      <c r="BC30">
        <f t="shared" si="13"/>
        <v>6</v>
      </c>
      <c r="BD30">
        <f t="shared" si="14"/>
        <v>0.35294117647058826</v>
      </c>
      <c r="BE30" s="10">
        <v>8.2265090375035097</v>
      </c>
      <c r="BF30" s="6">
        <v>26.528569999999998</v>
      </c>
      <c r="BG30" s="6">
        <v>27.437830000000002</v>
      </c>
      <c r="BH30" s="6">
        <v>0.53386199999999995</v>
      </c>
      <c r="BI30" s="6">
        <v>0.52857100000000001</v>
      </c>
      <c r="BJ30" s="6"/>
      <c r="BK30" s="6" t="s">
        <v>73</v>
      </c>
      <c r="BL30" s="6" t="s">
        <v>74</v>
      </c>
      <c r="BM30" s="6" t="s">
        <v>75</v>
      </c>
      <c r="BN30" s="6" t="s">
        <v>75</v>
      </c>
    </row>
    <row r="31" spans="1:66">
      <c r="A31" s="1" t="s">
        <v>137</v>
      </c>
      <c r="B31" s="1">
        <v>2022</v>
      </c>
      <c r="C31" s="1" t="s">
        <v>138</v>
      </c>
      <c r="D31" s="1">
        <v>15762231</v>
      </c>
      <c r="E31" s="1">
        <v>7606106</v>
      </c>
      <c r="F31" s="1">
        <v>25649717</v>
      </c>
      <c r="G31" s="1">
        <v>6774488</v>
      </c>
      <c r="H31" s="2">
        <f t="shared" si="0"/>
        <v>32424205</v>
      </c>
      <c r="I31" s="2">
        <f>H31+E31</f>
        <v>40030311</v>
      </c>
      <c r="J31" s="1">
        <v>36945947</v>
      </c>
      <c r="K31" s="2">
        <f t="shared" si="1"/>
        <v>55792542</v>
      </c>
      <c r="L31" s="1">
        <v>92738489</v>
      </c>
      <c r="M31" s="1">
        <v>16245569</v>
      </c>
      <c r="N31" s="1">
        <v>13044679</v>
      </c>
      <c r="O31" s="4">
        <f t="shared" si="2"/>
        <v>29290248</v>
      </c>
      <c r="P31" s="1">
        <v>26999723</v>
      </c>
      <c r="Q31" s="4">
        <f t="shared" si="3"/>
        <v>56289971</v>
      </c>
      <c r="R31" s="1">
        <v>6991080</v>
      </c>
      <c r="S31" s="1">
        <v>16467478</v>
      </c>
      <c r="T31" s="4">
        <f t="shared" si="4"/>
        <v>23458558</v>
      </c>
      <c r="U31" s="1">
        <v>79748529</v>
      </c>
      <c r="V31" s="1">
        <v>2022</v>
      </c>
      <c r="W31" s="8">
        <v>16147220</v>
      </c>
      <c r="X31" s="1">
        <v>0.47099999999999997</v>
      </c>
      <c r="Y31" s="1">
        <v>1</v>
      </c>
      <c r="Z31" s="1">
        <v>0</v>
      </c>
      <c r="AA31" s="1">
        <v>208200000</v>
      </c>
      <c r="AB31" s="1">
        <v>7.5707161383285301E-2</v>
      </c>
      <c r="AC31" s="1">
        <v>3.6532689721421707E-2</v>
      </c>
      <c r="AD31" s="1">
        <v>0.12319748799231509</v>
      </c>
      <c r="AE31" s="1">
        <v>3.2538366954851107E-2</v>
      </c>
      <c r="AF31" s="2">
        <f t="shared" si="5"/>
        <v>0.15573585494716619</v>
      </c>
      <c r="AG31" s="2">
        <f>AF31+AC31</f>
        <v>0.19226854466858789</v>
      </c>
      <c r="AH31" s="1">
        <v>0.17745411623439</v>
      </c>
      <c r="AI31" s="2">
        <f t="shared" si="6"/>
        <v>0.26797570605187321</v>
      </c>
      <c r="AJ31" s="1">
        <v>7.8028669548511051E-2</v>
      </c>
      <c r="AK31" s="1">
        <v>6.2654558117195003E-2</v>
      </c>
      <c r="AL31" s="4">
        <f t="shared" si="7"/>
        <v>0.14068322766570607</v>
      </c>
      <c r="AM31" s="1">
        <v>0.12968166666666667</v>
      </c>
      <c r="AN31" s="4">
        <f t="shared" si="8"/>
        <v>0.27036489433237276</v>
      </c>
      <c r="AO31" s="1">
        <v>3.3578674351585014E-2</v>
      </c>
      <c r="AP31" s="1">
        <v>7.9094514889529302E-2</v>
      </c>
      <c r="AQ31" s="4">
        <f t="shared" si="9"/>
        <v>0.11267318924111432</v>
      </c>
      <c r="AR31" s="1">
        <v>0.38303808357348701</v>
      </c>
      <c r="AS31" s="1">
        <v>0.44542982228626321</v>
      </c>
      <c r="AT31" s="1">
        <v>0.17153209414024984</v>
      </c>
      <c r="AU31" s="1">
        <f t="shared" si="10"/>
        <v>7.7556292026897219E-2</v>
      </c>
      <c r="AV31" s="1">
        <v>8</v>
      </c>
      <c r="AW31">
        <v>313</v>
      </c>
      <c r="AX31">
        <v>358</v>
      </c>
      <c r="AY31" s="6">
        <v>25</v>
      </c>
      <c r="AZ31" s="6">
        <v>13</v>
      </c>
      <c r="BA31" s="11">
        <f t="shared" si="11"/>
        <v>18.411764705882351</v>
      </c>
      <c r="BB31">
        <f t="shared" si="12"/>
        <v>21.058823529411764</v>
      </c>
      <c r="BC31">
        <f t="shared" si="13"/>
        <v>-45</v>
      </c>
      <c r="BD31">
        <f t="shared" si="14"/>
        <v>-2.6470588235294117</v>
      </c>
      <c r="BE31" s="10">
        <v>6.8324322168401999</v>
      </c>
      <c r="BF31" s="6">
        <v>27.372879999999999</v>
      </c>
      <c r="BG31" s="6">
        <v>29.168050000000001</v>
      </c>
      <c r="BH31" s="6">
        <v>0.53925999999999996</v>
      </c>
      <c r="BI31" s="6">
        <v>0.62711899999999998</v>
      </c>
      <c r="BJ31" s="6"/>
      <c r="BK31" s="6" t="s">
        <v>67</v>
      </c>
      <c r="BL31" s="6" t="s">
        <v>74</v>
      </c>
      <c r="BM31" s="6" t="s">
        <v>102</v>
      </c>
      <c r="BN31" s="6" t="s">
        <v>75</v>
      </c>
    </row>
    <row r="32" spans="1:66">
      <c r="A32" s="1" t="s">
        <v>139</v>
      </c>
      <c r="B32" s="1">
        <v>2022</v>
      </c>
      <c r="C32" s="1" t="s">
        <v>140</v>
      </c>
      <c r="D32" s="1">
        <v>39710700</v>
      </c>
      <c r="E32" s="1">
        <v>11960977</v>
      </c>
      <c r="F32" s="1">
        <v>14123712</v>
      </c>
      <c r="G32" s="1">
        <v>6991640</v>
      </c>
      <c r="H32" s="2">
        <f t="shared" si="0"/>
        <v>21115352</v>
      </c>
      <c r="I32" s="2">
        <f>H32+E32</f>
        <v>33076329</v>
      </c>
      <c r="J32" s="1">
        <v>29697377</v>
      </c>
      <c r="K32" s="2">
        <f t="shared" si="1"/>
        <v>72787029</v>
      </c>
      <c r="L32" s="1">
        <v>102484406</v>
      </c>
      <c r="M32" s="1">
        <v>16401876</v>
      </c>
      <c r="N32" s="1">
        <v>27135472</v>
      </c>
      <c r="O32" s="4">
        <f t="shared" si="2"/>
        <v>43537348</v>
      </c>
      <c r="P32" s="1">
        <v>8756546</v>
      </c>
      <c r="Q32" s="4">
        <f t="shared" si="3"/>
        <v>52293894</v>
      </c>
      <c r="R32" s="1">
        <v>14150405</v>
      </c>
      <c r="S32" s="1">
        <v>11447369</v>
      </c>
      <c r="T32" s="4">
        <f t="shared" si="4"/>
        <v>25597774</v>
      </c>
      <c r="U32" s="1">
        <v>77891668</v>
      </c>
      <c r="V32" s="1">
        <v>2022</v>
      </c>
      <c r="W32" s="8">
        <v>104725799</v>
      </c>
      <c r="X32" s="1">
        <v>0.41199999999999998</v>
      </c>
      <c r="Y32" s="1">
        <v>0</v>
      </c>
      <c r="Z32" s="1">
        <v>0</v>
      </c>
      <c r="AA32" s="1">
        <v>208200000</v>
      </c>
      <c r="AB32" s="1">
        <v>0.19073342939481269</v>
      </c>
      <c r="AC32" s="1">
        <v>5.7449457252641688E-2</v>
      </c>
      <c r="AD32" s="1">
        <v>6.7837233429394808E-2</v>
      </c>
      <c r="AE32" s="1">
        <v>3.3581364073006721E-2</v>
      </c>
      <c r="AF32" s="2">
        <f t="shared" si="5"/>
        <v>0.10141859750240154</v>
      </c>
      <c r="AG32" s="2">
        <f>AF32+AC32</f>
        <v>0.15886805475504323</v>
      </c>
      <c r="AH32" s="1">
        <v>0.14263869836695486</v>
      </c>
      <c r="AI32" s="2">
        <f t="shared" si="6"/>
        <v>0.34960148414985592</v>
      </c>
      <c r="AJ32" s="1">
        <v>7.8779423631123918E-2</v>
      </c>
      <c r="AK32" s="1">
        <v>0.13033367915465899</v>
      </c>
      <c r="AL32" s="4">
        <f t="shared" si="7"/>
        <v>0.20911310278578291</v>
      </c>
      <c r="AM32" s="1">
        <v>4.2058338136407303E-2</v>
      </c>
      <c r="AN32" s="4">
        <f t="shared" si="8"/>
        <v>0.25117144092219024</v>
      </c>
      <c r="AO32" s="1">
        <v>6.7965441882804997E-2</v>
      </c>
      <c r="AP32" s="1">
        <v>5.498256003842459E-2</v>
      </c>
      <c r="AQ32" s="4">
        <f t="shared" si="9"/>
        <v>0.12294800192122959</v>
      </c>
      <c r="AR32" s="1">
        <v>0.3741194428434198</v>
      </c>
      <c r="AS32" s="1">
        <v>0.49224018251681073</v>
      </c>
      <c r="AT32" s="1">
        <v>0.13364037463976941</v>
      </c>
      <c r="AU32" s="1">
        <f t="shared" si="10"/>
        <v>0.50300575888568688</v>
      </c>
      <c r="AV32" s="1">
        <v>7</v>
      </c>
      <c r="AW32">
        <v>298</v>
      </c>
      <c r="AX32">
        <v>359</v>
      </c>
      <c r="AY32" s="6">
        <v>28</v>
      </c>
      <c r="AZ32" s="6">
        <v>14</v>
      </c>
      <c r="BA32" s="11">
        <f t="shared" si="11"/>
        <v>17.529411764705884</v>
      </c>
      <c r="BB32">
        <f t="shared" si="12"/>
        <v>21.117647058823529</v>
      </c>
      <c r="BC32">
        <f t="shared" si="13"/>
        <v>-61</v>
      </c>
      <c r="BD32">
        <f t="shared" si="14"/>
        <v>-3.5882352941176472</v>
      </c>
      <c r="BE32" s="10">
        <v>6.3950747831799504</v>
      </c>
      <c r="BF32" s="6">
        <v>26.54054</v>
      </c>
      <c r="BG32" s="6">
        <v>29.193750000000001</v>
      </c>
      <c r="BH32" s="6">
        <v>0.66778700000000002</v>
      </c>
      <c r="BI32" s="6">
        <v>0.44594600000000001</v>
      </c>
      <c r="BJ32" s="6"/>
      <c r="BK32" s="6" t="s">
        <v>67</v>
      </c>
      <c r="BL32" s="6" t="s">
        <v>96</v>
      </c>
      <c r="BM32" s="6" t="s">
        <v>70</v>
      </c>
      <c r="BN32" s="6" t="s">
        <v>70</v>
      </c>
    </row>
    <row r="33" spans="1:80">
      <c r="A33" s="1" t="s">
        <v>141</v>
      </c>
      <c r="B33" s="1">
        <v>2022</v>
      </c>
      <c r="C33" s="1" t="s">
        <v>142</v>
      </c>
      <c r="D33" s="1">
        <v>32853576</v>
      </c>
      <c r="E33" s="1">
        <v>5121964</v>
      </c>
      <c r="F33" s="1">
        <v>28411119</v>
      </c>
      <c r="G33" s="1">
        <v>9657546</v>
      </c>
      <c r="H33" s="2">
        <f t="shared" si="0"/>
        <v>38068665</v>
      </c>
      <c r="I33" s="2">
        <f>H33+E33</f>
        <v>43190629</v>
      </c>
      <c r="J33" s="1">
        <v>35455377</v>
      </c>
      <c r="K33" s="2">
        <f t="shared" si="1"/>
        <v>76044205</v>
      </c>
      <c r="L33" s="1">
        <v>111499582</v>
      </c>
      <c r="M33" s="1">
        <v>20137963</v>
      </c>
      <c r="N33" s="1">
        <v>17081969</v>
      </c>
      <c r="O33" s="4">
        <f t="shared" si="2"/>
        <v>37219932</v>
      </c>
      <c r="P33" s="1">
        <v>9648261</v>
      </c>
      <c r="Q33" s="4">
        <f t="shared" si="3"/>
        <v>46868193</v>
      </c>
      <c r="R33" s="1">
        <v>6572800</v>
      </c>
      <c r="S33" s="1">
        <v>15391044</v>
      </c>
      <c r="T33" s="4">
        <f t="shared" si="4"/>
        <v>21963844</v>
      </c>
      <c r="U33" s="1">
        <v>68832037</v>
      </c>
      <c r="V33" s="1">
        <v>2022</v>
      </c>
      <c r="W33" s="8">
        <v>23252370</v>
      </c>
      <c r="X33" s="1">
        <v>0.5</v>
      </c>
      <c r="Y33" s="1">
        <v>0</v>
      </c>
      <c r="Z33" s="1">
        <v>0</v>
      </c>
      <c r="AA33" s="1">
        <v>208200000</v>
      </c>
      <c r="AB33" s="1">
        <v>0.15779815561959654</v>
      </c>
      <c r="AC33" s="1">
        <v>2.4601171950048031E-2</v>
      </c>
      <c r="AD33" s="1">
        <v>0.13646070605187319</v>
      </c>
      <c r="AE33" s="1">
        <v>4.6385907780979826E-2</v>
      </c>
      <c r="AF33" s="2">
        <f t="shared" si="5"/>
        <v>0.182846613832853</v>
      </c>
      <c r="AG33" s="2">
        <f>AF33+AC33</f>
        <v>0.20744778578290102</v>
      </c>
      <c r="AH33" s="1">
        <v>0.17029479827089336</v>
      </c>
      <c r="AI33" s="2">
        <f t="shared" si="6"/>
        <v>0.36524594140249755</v>
      </c>
      <c r="AJ33" s="1">
        <v>9.6724125840537939E-2</v>
      </c>
      <c r="AK33" s="1">
        <v>8.2045960614793467E-2</v>
      </c>
      <c r="AL33" s="4">
        <f t="shared" si="7"/>
        <v>0.17877008645533141</v>
      </c>
      <c r="AM33" s="1">
        <v>4.6341311239193085E-2</v>
      </c>
      <c r="AN33" s="4">
        <f t="shared" si="8"/>
        <v>0.22511139769452448</v>
      </c>
      <c r="AO33" s="1">
        <v>3.1569644572526416E-2</v>
      </c>
      <c r="AP33" s="1">
        <v>7.3924322766570599E-2</v>
      </c>
      <c r="AQ33" s="4">
        <f t="shared" si="9"/>
        <v>0.10549396733909702</v>
      </c>
      <c r="AR33" s="1">
        <v>0.33060536503362153</v>
      </c>
      <c r="AS33" s="1">
        <v>0.535540739673391</v>
      </c>
      <c r="AT33" s="1">
        <v>0.13385389529298752</v>
      </c>
      <c r="AU33" s="1">
        <f t="shared" si="10"/>
        <v>0.1116828530259366</v>
      </c>
      <c r="AV33" s="1">
        <v>8</v>
      </c>
      <c r="AW33">
        <v>321</v>
      </c>
      <c r="AX33">
        <v>343</v>
      </c>
      <c r="AY33" s="6">
        <v>24</v>
      </c>
      <c r="AZ33" s="6">
        <v>7</v>
      </c>
      <c r="BA33" s="11">
        <f t="shared" si="11"/>
        <v>18.882352941176471</v>
      </c>
      <c r="BB33">
        <f t="shared" si="12"/>
        <v>20.176470588235293</v>
      </c>
      <c r="BC33">
        <f t="shared" si="13"/>
        <v>-22</v>
      </c>
      <c r="BD33">
        <f t="shared" si="14"/>
        <v>-1.2941176470588236</v>
      </c>
      <c r="BE33" s="10">
        <v>7.4611335283657398</v>
      </c>
      <c r="BF33" s="6">
        <v>25.911760000000001</v>
      </c>
      <c r="BG33" s="6">
        <v>27.31016</v>
      </c>
      <c r="BH33" s="6">
        <v>0.61378100000000002</v>
      </c>
      <c r="BI33" s="6">
        <v>0.63235300000000005</v>
      </c>
      <c r="BJ33" s="6"/>
      <c r="BK33" s="6" t="s">
        <v>73</v>
      </c>
      <c r="BL33" s="6" t="s">
        <v>68</v>
      </c>
      <c r="BM33" s="6" t="s">
        <v>99</v>
      </c>
      <c r="BN33" s="6" t="s">
        <v>93</v>
      </c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</row>
    <row r="34" spans="1:80">
      <c r="A34" s="1" t="s">
        <v>143</v>
      </c>
      <c r="B34" s="1">
        <v>2021</v>
      </c>
      <c r="C34" s="1" t="s">
        <v>66</v>
      </c>
      <c r="D34" s="1">
        <v>11081777</v>
      </c>
      <c r="E34" s="1">
        <v>4387168</v>
      </c>
      <c r="F34" s="1">
        <v>22461209</v>
      </c>
      <c r="G34" s="1">
        <v>10860784</v>
      </c>
      <c r="H34" s="2">
        <f t="shared" si="0"/>
        <v>33321993</v>
      </c>
      <c r="I34" s="2">
        <f>H34+E34</f>
        <v>37709161</v>
      </c>
      <c r="J34" s="1">
        <v>38223833</v>
      </c>
      <c r="K34" s="2">
        <f t="shared" si="1"/>
        <v>48790938</v>
      </c>
      <c r="L34" s="1">
        <v>87014771</v>
      </c>
      <c r="M34" s="1">
        <v>17619203</v>
      </c>
      <c r="N34" s="1">
        <v>33036833</v>
      </c>
      <c r="O34" s="4">
        <f t="shared" si="2"/>
        <v>50656036</v>
      </c>
      <c r="P34" s="1">
        <v>17081727</v>
      </c>
      <c r="Q34" s="4">
        <f t="shared" si="3"/>
        <v>67737763</v>
      </c>
      <c r="R34" s="1">
        <v>11793083</v>
      </c>
      <c r="S34" s="1">
        <v>5346723</v>
      </c>
      <c r="T34" s="4">
        <f t="shared" si="4"/>
        <v>17139806</v>
      </c>
      <c r="U34" s="1">
        <v>84877569</v>
      </c>
      <c r="V34" s="1">
        <v>2021</v>
      </c>
      <c r="W34" s="8">
        <v>20408331</v>
      </c>
      <c r="X34" s="1">
        <v>0.64700000000000002</v>
      </c>
      <c r="Y34" s="1">
        <v>1</v>
      </c>
      <c r="Z34" s="1">
        <v>0</v>
      </c>
      <c r="AA34" s="1">
        <v>182500000</v>
      </c>
      <c r="AB34" s="1">
        <v>6.0722065753424655E-2</v>
      </c>
      <c r="AC34" s="1">
        <v>2.4039276712328767E-2</v>
      </c>
      <c r="AD34" s="1">
        <v>0.12307511780821918</v>
      </c>
      <c r="AE34" s="1">
        <v>5.9511145205479454E-2</v>
      </c>
      <c r="AF34" s="2">
        <f t="shared" si="5"/>
        <v>0.18258626301369862</v>
      </c>
      <c r="AG34" s="2">
        <f>AF34+AC34</f>
        <v>0.2066255397260274</v>
      </c>
      <c r="AH34" s="1">
        <v>0.2094456602739726</v>
      </c>
      <c r="AI34" s="2">
        <f t="shared" si="6"/>
        <v>0.26734760547945208</v>
      </c>
      <c r="AJ34" s="1">
        <v>9.6543578082191786E-2</v>
      </c>
      <c r="AK34" s="1">
        <v>0.18102374246575342</v>
      </c>
      <c r="AL34" s="4">
        <f t="shared" si="7"/>
        <v>0.2775673205479452</v>
      </c>
      <c r="AM34" s="1">
        <v>9.3598504109589045E-2</v>
      </c>
      <c r="AN34" s="4">
        <f t="shared" si="8"/>
        <v>0.37116582465753423</v>
      </c>
      <c r="AO34" s="1">
        <v>6.4619632876712324E-2</v>
      </c>
      <c r="AP34" s="1">
        <v>2.9297112328767125E-2</v>
      </c>
      <c r="AQ34" s="4">
        <f t="shared" si="9"/>
        <v>9.3916745205479449E-2</v>
      </c>
      <c r="AR34" s="1">
        <v>0.46508256986301372</v>
      </c>
      <c r="AS34" s="1">
        <v>0.47679326575342468</v>
      </c>
      <c r="AT34" s="1">
        <v>5.8124164383561605E-2</v>
      </c>
      <c r="AU34" s="1">
        <f t="shared" si="10"/>
        <v>0.11182647123287671</v>
      </c>
      <c r="AV34" s="1">
        <v>11</v>
      </c>
      <c r="AW34">
        <v>449</v>
      </c>
      <c r="AX34">
        <v>366</v>
      </c>
      <c r="AY34" s="6">
        <v>11</v>
      </c>
      <c r="AZ34" s="6">
        <v>11</v>
      </c>
      <c r="BA34" s="11">
        <f t="shared" si="11"/>
        <v>26.411764705882351</v>
      </c>
      <c r="BB34">
        <f t="shared" si="12"/>
        <v>21.529411764705884</v>
      </c>
      <c r="BC34">
        <f t="shared" si="13"/>
        <v>83</v>
      </c>
      <c r="BD34">
        <f t="shared" si="14"/>
        <v>4.882352941176471</v>
      </c>
      <c r="BE34" s="10">
        <v>10.331291688445599</v>
      </c>
      <c r="BF34" s="6">
        <v>27.44444</v>
      </c>
      <c r="BG34" s="6">
        <v>28.262319999999999</v>
      </c>
      <c r="BH34" s="6">
        <v>0.58641900000000002</v>
      </c>
      <c r="BI34" s="6">
        <v>0.63492099999999996</v>
      </c>
      <c r="BJ34" s="6"/>
      <c r="BK34" s="6" t="s">
        <v>80</v>
      </c>
      <c r="BL34" s="6" t="s">
        <v>74</v>
      </c>
      <c r="BM34" s="6" t="s">
        <v>81</v>
      </c>
      <c r="BN34" s="6" t="s">
        <v>70</v>
      </c>
    </row>
    <row r="35" spans="1:80">
      <c r="A35" s="1" t="s">
        <v>144</v>
      </c>
      <c r="B35" s="1">
        <v>2021</v>
      </c>
      <c r="C35" s="1" t="s">
        <v>72</v>
      </c>
      <c r="D35" s="1">
        <v>29429000</v>
      </c>
      <c r="E35" s="1">
        <v>3371749</v>
      </c>
      <c r="F35" s="1">
        <v>12173921</v>
      </c>
      <c r="G35" s="1">
        <v>10820907</v>
      </c>
      <c r="H35" s="2">
        <f t="shared" si="0"/>
        <v>22994828</v>
      </c>
      <c r="I35" s="2">
        <f>H35+E35</f>
        <v>26366577</v>
      </c>
      <c r="J35" s="1">
        <v>28356946</v>
      </c>
      <c r="K35" s="2">
        <f t="shared" si="1"/>
        <v>55795577</v>
      </c>
      <c r="L35" s="1">
        <v>84152523</v>
      </c>
      <c r="M35" s="1">
        <v>28858522</v>
      </c>
      <c r="N35" s="1">
        <v>13833204</v>
      </c>
      <c r="O35" s="4">
        <f t="shared" si="2"/>
        <v>42691726</v>
      </c>
      <c r="P35" s="1">
        <v>10355974</v>
      </c>
      <c r="Q35" s="4">
        <f t="shared" si="3"/>
        <v>53047700</v>
      </c>
      <c r="R35" s="1">
        <v>5057903</v>
      </c>
      <c r="S35" s="1">
        <v>8919054</v>
      </c>
      <c r="T35" s="4">
        <f t="shared" si="4"/>
        <v>13976957</v>
      </c>
      <c r="U35" s="1">
        <v>67024657</v>
      </c>
      <c r="V35" s="1">
        <v>2021</v>
      </c>
      <c r="W35" s="8">
        <v>13098200</v>
      </c>
      <c r="X35" s="1">
        <v>0.41199999999999998</v>
      </c>
      <c r="Y35" s="1">
        <v>0</v>
      </c>
      <c r="Z35" s="1">
        <v>0</v>
      </c>
      <c r="AA35" s="1">
        <v>182500000</v>
      </c>
      <c r="AB35" s="1">
        <v>0.16125479452054794</v>
      </c>
      <c r="AC35" s="1">
        <v>1.8475336986301369E-2</v>
      </c>
      <c r="AD35" s="1">
        <v>6.6706416438356161E-2</v>
      </c>
      <c r="AE35" s="1">
        <v>5.9292641095890414E-2</v>
      </c>
      <c r="AF35" s="2">
        <f t="shared" si="5"/>
        <v>0.12599905753424656</v>
      </c>
      <c r="AG35" s="2">
        <f>AF35+AC35</f>
        <v>0.14447439452054794</v>
      </c>
      <c r="AH35" s="1">
        <v>0.15538052602739727</v>
      </c>
      <c r="AI35" s="2">
        <f t="shared" si="6"/>
        <v>0.30572918904109592</v>
      </c>
      <c r="AJ35" s="1">
        <v>0.15812888767123287</v>
      </c>
      <c r="AK35" s="1">
        <v>7.5798378082191781E-2</v>
      </c>
      <c r="AL35" s="4">
        <f t="shared" si="7"/>
        <v>0.23392726575342465</v>
      </c>
      <c r="AM35" s="1">
        <v>5.6745063013698631E-2</v>
      </c>
      <c r="AN35" s="4">
        <f t="shared" si="8"/>
        <v>0.29067232876712329</v>
      </c>
      <c r="AO35" s="1">
        <v>2.7714536986301368E-2</v>
      </c>
      <c r="AP35" s="1">
        <v>4.8871528767123286E-2</v>
      </c>
      <c r="AQ35" s="4">
        <f t="shared" si="9"/>
        <v>7.6586065753424651E-2</v>
      </c>
      <c r="AR35" s="1">
        <v>0.36725839452054793</v>
      </c>
      <c r="AS35" s="1">
        <v>0.46110971506849313</v>
      </c>
      <c r="AT35" s="1">
        <v>0.17163189041095894</v>
      </c>
      <c r="AU35" s="1">
        <f t="shared" si="10"/>
        <v>7.1770958904109589E-2</v>
      </c>
      <c r="AV35" s="1">
        <v>7</v>
      </c>
      <c r="AW35">
        <v>313</v>
      </c>
      <c r="AX35">
        <v>459</v>
      </c>
      <c r="AY35" s="6">
        <v>26</v>
      </c>
      <c r="AZ35" s="6">
        <v>29</v>
      </c>
      <c r="BA35" s="11">
        <f t="shared" si="11"/>
        <v>18.411764705882351</v>
      </c>
      <c r="BB35">
        <f t="shared" si="12"/>
        <v>27</v>
      </c>
      <c r="BC35">
        <f t="shared" si="13"/>
        <v>-146</v>
      </c>
      <c r="BD35">
        <f t="shared" si="14"/>
        <v>-8.5882352941176467</v>
      </c>
      <c r="BE35" s="10">
        <v>4.0716134154077599</v>
      </c>
      <c r="BF35" s="6">
        <v>26.68852</v>
      </c>
      <c r="BG35" s="6">
        <v>28.504809999999999</v>
      </c>
      <c r="BH35" s="6">
        <v>0.630193</v>
      </c>
      <c r="BI35" s="6">
        <v>0.44262299999999999</v>
      </c>
      <c r="BJ35" s="6"/>
      <c r="BK35" s="6" t="s">
        <v>67</v>
      </c>
      <c r="BL35" s="6" t="s">
        <v>96</v>
      </c>
      <c r="BM35" s="6" t="s">
        <v>70</v>
      </c>
      <c r="BN35" s="6" t="s">
        <v>70</v>
      </c>
    </row>
    <row r="36" spans="1:80">
      <c r="A36" s="1" t="s">
        <v>145</v>
      </c>
      <c r="B36" s="1">
        <v>2021</v>
      </c>
      <c r="C36" s="1" t="s">
        <v>77</v>
      </c>
      <c r="D36" s="1">
        <v>4028597</v>
      </c>
      <c r="E36" s="1">
        <v>7300004</v>
      </c>
      <c r="F36" s="1">
        <v>14428685</v>
      </c>
      <c r="G36" s="1">
        <v>10494617</v>
      </c>
      <c r="H36" s="2">
        <f t="shared" si="0"/>
        <v>24923302</v>
      </c>
      <c r="I36" s="2">
        <f>H36+E36</f>
        <v>32223306</v>
      </c>
      <c r="J36" s="1">
        <v>26461996</v>
      </c>
      <c r="K36" s="2">
        <f t="shared" si="1"/>
        <v>36251903</v>
      </c>
      <c r="L36" s="1">
        <v>62713899</v>
      </c>
      <c r="M36" s="1">
        <v>32559525</v>
      </c>
      <c r="N36" s="1">
        <v>9520273</v>
      </c>
      <c r="O36" s="4">
        <f t="shared" si="2"/>
        <v>42079798</v>
      </c>
      <c r="P36" s="1">
        <v>8917743</v>
      </c>
      <c r="Q36" s="4">
        <f t="shared" si="3"/>
        <v>50997541</v>
      </c>
      <c r="R36" s="1">
        <v>7604949</v>
      </c>
      <c r="S36" s="1">
        <v>31470976</v>
      </c>
      <c r="T36" s="4">
        <f t="shared" si="4"/>
        <v>39075925</v>
      </c>
      <c r="U36" s="1">
        <v>90073466</v>
      </c>
      <c r="V36" s="1">
        <v>2021</v>
      </c>
      <c r="W36" s="8">
        <v>49218097</v>
      </c>
      <c r="X36" s="1">
        <v>0.47099999999999997</v>
      </c>
      <c r="Y36" s="1">
        <v>0</v>
      </c>
      <c r="Z36" s="1">
        <v>0</v>
      </c>
      <c r="AA36" s="1">
        <v>182500000</v>
      </c>
      <c r="AB36" s="1">
        <v>2.2074504109589041E-2</v>
      </c>
      <c r="AC36" s="1">
        <v>4.0000021917808222E-2</v>
      </c>
      <c r="AD36" s="1">
        <v>7.9061287671232883E-2</v>
      </c>
      <c r="AE36" s="1">
        <v>5.7504750684931508E-2</v>
      </c>
      <c r="AF36" s="2">
        <f t="shared" si="5"/>
        <v>0.13656603835616438</v>
      </c>
      <c r="AG36" s="2">
        <f>AF36+AC36</f>
        <v>0.17656606027397259</v>
      </c>
      <c r="AH36" s="1">
        <v>0.14499723835616438</v>
      </c>
      <c r="AI36" s="2">
        <f t="shared" si="6"/>
        <v>0.19864056438356165</v>
      </c>
      <c r="AJ36" s="1">
        <v>0.17840835616438355</v>
      </c>
      <c r="AK36" s="1">
        <v>5.2165879452054795E-2</v>
      </c>
      <c r="AL36" s="4">
        <f t="shared" si="7"/>
        <v>0.23057423561643836</v>
      </c>
      <c r="AM36" s="1">
        <v>4.8864345205479449E-2</v>
      </c>
      <c r="AN36" s="4">
        <f t="shared" si="8"/>
        <v>0.2794385808219178</v>
      </c>
      <c r="AO36" s="1">
        <v>4.1670953424657535E-2</v>
      </c>
      <c r="AP36" s="1">
        <v>0.17244370410958904</v>
      </c>
      <c r="AQ36" s="4">
        <f t="shared" si="9"/>
        <v>0.21411465753424658</v>
      </c>
      <c r="AR36" s="1">
        <v>0.49355323835616438</v>
      </c>
      <c r="AS36" s="1">
        <v>0.34363780273972605</v>
      </c>
      <c r="AT36" s="1">
        <v>0.16280895890410951</v>
      </c>
      <c r="AU36" s="1">
        <f t="shared" si="10"/>
        <v>0.26968820273972605</v>
      </c>
      <c r="AV36" s="1">
        <v>8</v>
      </c>
      <c r="AW36">
        <v>387</v>
      </c>
      <c r="AX36">
        <v>392</v>
      </c>
      <c r="AY36" s="6">
        <v>17</v>
      </c>
      <c r="AZ36" s="6">
        <v>19</v>
      </c>
      <c r="BA36" s="11">
        <f t="shared" si="11"/>
        <v>22.764705882352942</v>
      </c>
      <c r="BB36">
        <f t="shared" si="12"/>
        <v>23.058823529411764</v>
      </c>
      <c r="BC36">
        <f t="shared" si="13"/>
        <v>-5</v>
      </c>
      <c r="BD36">
        <f t="shared" si="14"/>
        <v>-0.29411764705882354</v>
      </c>
      <c r="BE36" s="10">
        <v>7.9258258019201797</v>
      </c>
      <c r="BF36" s="6">
        <v>26.578949999999999</v>
      </c>
      <c r="BG36" s="6">
        <v>28.15192</v>
      </c>
      <c r="BH36" s="6">
        <v>0.56156600000000001</v>
      </c>
      <c r="BI36" s="6">
        <v>0.59210499999999999</v>
      </c>
      <c r="BJ36" s="6"/>
      <c r="BK36" s="6" t="s">
        <v>80</v>
      </c>
      <c r="BL36" s="6" t="s">
        <v>74</v>
      </c>
      <c r="BM36" s="6" t="s">
        <v>81</v>
      </c>
      <c r="BN36" s="6" t="s">
        <v>75</v>
      </c>
    </row>
    <row r="37" spans="1:80">
      <c r="A37" s="1" t="s">
        <v>146</v>
      </c>
      <c r="B37" s="1">
        <v>2021</v>
      </c>
      <c r="C37" s="1" t="s">
        <v>79</v>
      </c>
      <c r="D37" s="1">
        <v>12943981</v>
      </c>
      <c r="E37" s="1">
        <v>4749059</v>
      </c>
      <c r="F37" s="1">
        <v>22340141</v>
      </c>
      <c r="G37" s="1">
        <v>2152750</v>
      </c>
      <c r="H37" s="2">
        <f t="shared" si="0"/>
        <v>24492891</v>
      </c>
      <c r="I37" s="2">
        <f>H37+E37</f>
        <v>29241950</v>
      </c>
      <c r="J37" s="1">
        <v>32975145</v>
      </c>
      <c r="K37" s="2">
        <f t="shared" si="1"/>
        <v>42185931</v>
      </c>
      <c r="L37" s="1">
        <v>75161076</v>
      </c>
      <c r="M37" s="1">
        <v>21438386</v>
      </c>
      <c r="N37" s="1">
        <v>24237883</v>
      </c>
      <c r="O37" s="4">
        <f t="shared" si="2"/>
        <v>45676269</v>
      </c>
      <c r="P37" s="1">
        <v>23070184</v>
      </c>
      <c r="Q37" s="4">
        <f t="shared" si="3"/>
        <v>68746453</v>
      </c>
      <c r="R37" s="1">
        <v>13577981</v>
      </c>
      <c r="S37" s="1">
        <v>13341560</v>
      </c>
      <c r="T37" s="4">
        <f t="shared" si="4"/>
        <v>26919541</v>
      </c>
      <c r="U37" s="1">
        <v>95665994</v>
      </c>
      <c r="V37" s="1">
        <v>2021</v>
      </c>
      <c r="W37" s="8">
        <v>10985000</v>
      </c>
      <c r="X37" s="1">
        <v>0.64700000000000002</v>
      </c>
      <c r="Y37" s="1">
        <v>1</v>
      </c>
      <c r="Z37" s="1">
        <v>0</v>
      </c>
      <c r="AA37" s="1">
        <v>182500000</v>
      </c>
      <c r="AB37" s="1">
        <v>7.0925923287671236E-2</v>
      </c>
      <c r="AC37" s="1">
        <v>2.6022241095890412E-2</v>
      </c>
      <c r="AD37" s="1">
        <v>0.12241173150684931</v>
      </c>
      <c r="AE37" s="1">
        <v>1.1795890410958904E-2</v>
      </c>
      <c r="AF37" s="2">
        <f t="shared" si="5"/>
        <v>0.13420762191780822</v>
      </c>
      <c r="AG37" s="2">
        <f>AF37+AC37</f>
        <v>0.16022986301369863</v>
      </c>
      <c r="AH37" s="1">
        <v>0.18068572602739727</v>
      </c>
      <c r="AI37" s="2">
        <f t="shared" si="6"/>
        <v>0.23115578630136985</v>
      </c>
      <c r="AJ37" s="1">
        <v>0.11747060821917808</v>
      </c>
      <c r="AK37" s="1">
        <v>0.13281031780821917</v>
      </c>
      <c r="AL37" s="4">
        <f t="shared" si="7"/>
        <v>0.25028092602739727</v>
      </c>
      <c r="AM37" s="1">
        <v>0.12641196712328767</v>
      </c>
      <c r="AN37" s="4">
        <f t="shared" si="8"/>
        <v>0.37669289315068494</v>
      </c>
      <c r="AO37" s="1">
        <v>7.4399895890410961E-2</v>
      </c>
      <c r="AP37" s="1">
        <v>7.3104438356164383E-2</v>
      </c>
      <c r="AQ37" s="4">
        <f t="shared" si="9"/>
        <v>0.14750433424657533</v>
      </c>
      <c r="AR37" s="1">
        <v>0.52419722739726027</v>
      </c>
      <c r="AS37" s="1">
        <v>0.41184151232876715</v>
      </c>
      <c r="AT37" s="1">
        <v>6.3961260273972531E-2</v>
      </c>
      <c r="AU37" s="1">
        <f t="shared" si="10"/>
        <v>6.0191780821917805E-2</v>
      </c>
      <c r="AV37" s="1">
        <v>11</v>
      </c>
      <c r="AW37">
        <v>483</v>
      </c>
      <c r="AX37">
        <v>289</v>
      </c>
      <c r="AY37" s="6">
        <v>3</v>
      </c>
      <c r="AZ37" s="6">
        <v>1</v>
      </c>
      <c r="BA37" s="11">
        <f t="shared" si="11"/>
        <v>28.411764705882351</v>
      </c>
      <c r="BB37">
        <f t="shared" si="12"/>
        <v>17</v>
      </c>
      <c r="BC37">
        <f t="shared" si="13"/>
        <v>194</v>
      </c>
      <c r="BD37">
        <f t="shared" si="14"/>
        <v>11.411764705882353</v>
      </c>
      <c r="BE37" s="10">
        <v>13.365458888355301</v>
      </c>
      <c r="BF37" s="6">
        <v>26.542369999999998</v>
      </c>
      <c r="BG37" s="6">
        <v>28.140180000000001</v>
      </c>
      <c r="BH37" s="6">
        <v>0.51428399999999996</v>
      </c>
      <c r="BI37" s="6">
        <v>0.67796599999999996</v>
      </c>
      <c r="BJ37" s="6"/>
      <c r="BK37" s="6" t="s">
        <v>80</v>
      </c>
      <c r="BL37" s="6" t="s">
        <v>74</v>
      </c>
      <c r="BM37" s="6" t="s">
        <v>81</v>
      </c>
      <c r="BN37" s="6" t="s">
        <v>75</v>
      </c>
    </row>
    <row r="38" spans="1:80">
      <c r="A38" s="1" t="s">
        <v>147</v>
      </c>
      <c r="B38" s="1">
        <v>2021</v>
      </c>
      <c r="C38" s="1" t="s">
        <v>83</v>
      </c>
      <c r="D38" s="1">
        <v>11654685</v>
      </c>
      <c r="E38" s="1">
        <v>8710326</v>
      </c>
      <c r="F38" s="1">
        <v>16677314</v>
      </c>
      <c r="G38" s="1">
        <v>4033313</v>
      </c>
      <c r="H38" s="2">
        <f t="shared" si="0"/>
        <v>20710627</v>
      </c>
      <c r="I38" s="2">
        <f>H38+E38</f>
        <v>29420953</v>
      </c>
      <c r="J38" s="1">
        <v>21170301</v>
      </c>
      <c r="K38" s="2">
        <f t="shared" si="1"/>
        <v>41075638</v>
      </c>
      <c r="L38" s="1">
        <v>62245939</v>
      </c>
      <c r="M38" s="1">
        <v>14544720</v>
      </c>
      <c r="N38" s="1">
        <v>11028902</v>
      </c>
      <c r="O38" s="4">
        <f t="shared" si="2"/>
        <v>25573622</v>
      </c>
      <c r="P38" s="1">
        <v>10498344</v>
      </c>
      <c r="Q38" s="4">
        <f t="shared" si="3"/>
        <v>36071966</v>
      </c>
      <c r="R38" s="1">
        <v>8287077</v>
      </c>
      <c r="S38" s="1">
        <v>19983381</v>
      </c>
      <c r="T38" s="4">
        <f t="shared" si="4"/>
        <v>28270458</v>
      </c>
      <c r="U38" s="1">
        <v>64342424</v>
      </c>
      <c r="V38" s="1">
        <v>2021</v>
      </c>
      <c r="W38" s="8">
        <v>30685691</v>
      </c>
      <c r="X38" s="1">
        <v>0.29399999999999998</v>
      </c>
      <c r="Y38" s="1">
        <v>0</v>
      </c>
      <c r="Z38" s="1">
        <v>0</v>
      </c>
      <c r="AA38" s="1">
        <v>182500000</v>
      </c>
      <c r="AB38" s="1">
        <v>6.3861287671232878E-2</v>
      </c>
      <c r="AC38" s="1">
        <v>4.7727813698630134E-2</v>
      </c>
      <c r="AD38" s="1">
        <v>9.1382542465753419E-2</v>
      </c>
      <c r="AE38" s="1">
        <v>2.2100345205479453E-2</v>
      </c>
      <c r="AF38" s="2">
        <f t="shared" si="5"/>
        <v>0.11348288767123288</v>
      </c>
      <c r="AG38" s="2">
        <f>AF38+AC38</f>
        <v>0.16121070136986301</v>
      </c>
      <c r="AH38" s="1">
        <v>0.1160016493150685</v>
      </c>
      <c r="AI38" s="2">
        <f t="shared" si="6"/>
        <v>0.2250719890410959</v>
      </c>
      <c r="AJ38" s="1">
        <v>7.9697095890410963E-2</v>
      </c>
      <c r="AK38" s="1">
        <v>6.04323397260274E-2</v>
      </c>
      <c r="AL38" s="4">
        <f t="shared" si="7"/>
        <v>0.14012943561643837</v>
      </c>
      <c r="AM38" s="1">
        <v>5.7525172602739726E-2</v>
      </c>
      <c r="AN38" s="4">
        <f t="shared" si="8"/>
        <v>0.1976546082191781</v>
      </c>
      <c r="AO38" s="1">
        <v>4.5408641095890413E-2</v>
      </c>
      <c r="AP38" s="1">
        <v>0.10949797808219178</v>
      </c>
      <c r="AQ38" s="4">
        <f t="shared" si="9"/>
        <v>0.15490661917808218</v>
      </c>
      <c r="AR38" s="1">
        <v>0.35256122739726026</v>
      </c>
      <c r="AS38" s="1">
        <v>0.34107363835616439</v>
      </c>
      <c r="AT38" s="1">
        <v>0.30636513424657541</v>
      </c>
      <c r="AU38" s="1">
        <f t="shared" si="10"/>
        <v>0.16814077260273971</v>
      </c>
      <c r="AV38" s="1">
        <v>5</v>
      </c>
      <c r="AW38">
        <v>304</v>
      </c>
      <c r="AX38">
        <v>404</v>
      </c>
      <c r="AY38" s="6">
        <v>29</v>
      </c>
      <c r="AZ38" s="6">
        <v>21</v>
      </c>
      <c r="BA38" s="11">
        <f t="shared" si="11"/>
        <v>17.882352941176471</v>
      </c>
      <c r="BB38">
        <f t="shared" si="12"/>
        <v>23.764705882352942</v>
      </c>
      <c r="BC38">
        <f t="shared" si="13"/>
        <v>-100</v>
      </c>
      <c r="BD38">
        <f t="shared" si="14"/>
        <v>-5.882352941176471</v>
      </c>
      <c r="BE38" s="10">
        <v>5.32901603799416</v>
      </c>
      <c r="BF38" s="6">
        <v>25.710139999999999</v>
      </c>
      <c r="BG38" s="6">
        <v>26.66347</v>
      </c>
      <c r="BH38" s="6">
        <v>0.54517099999999996</v>
      </c>
      <c r="BI38" s="6">
        <v>0.42029</v>
      </c>
      <c r="BJ38" s="6"/>
      <c r="BK38" s="6" t="s">
        <v>73</v>
      </c>
      <c r="BL38" s="6" t="s">
        <v>74</v>
      </c>
      <c r="BM38" s="6" t="s">
        <v>75</v>
      </c>
      <c r="BN38" s="6" t="s">
        <v>75</v>
      </c>
    </row>
    <row r="39" spans="1:80">
      <c r="A39" s="1" t="s">
        <v>148</v>
      </c>
      <c r="B39" s="1">
        <v>2021</v>
      </c>
      <c r="C39" s="1" t="s">
        <v>85</v>
      </c>
      <c r="D39" s="1">
        <v>15162197</v>
      </c>
      <c r="E39" s="1">
        <v>6793142</v>
      </c>
      <c r="F39" s="1">
        <v>23816178</v>
      </c>
      <c r="G39" s="1">
        <v>9074724</v>
      </c>
      <c r="H39" s="2">
        <f t="shared" si="0"/>
        <v>32890902</v>
      </c>
      <c r="I39" s="2">
        <f>H39+E39</f>
        <v>39684044</v>
      </c>
      <c r="J39" s="1">
        <v>18806298</v>
      </c>
      <c r="K39" s="2">
        <f t="shared" si="1"/>
        <v>54846241</v>
      </c>
      <c r="L39" s="1">
        <v>73652539</v>
      </c>
      <c r="M39" s="1">
        <v>26939624</v>
      </c>
      <c r="N39" s="1">
        <v>29052430</v>
      </c>
      <c r="O39" s="4">
        <f t="shared" si="2"/>
        <v>55992054</v>
      </c>
      <c r="P39" s="1">
        <v>14937106</v>
      </c>
      <c r="Q39" s="4">
        <f t="shared" si="3"/>
        <v>70929160</v>
      </c>
      <c r="R39" s="1">
        <v>8872500</v>
      </c>
      <c r="S39" s="1">
        <v>6517421</v>
      </c>
      <c r="T39" s="4">
        <f t="shared" si="4"/>
        <v>15389921</v>
      </c>
      <c r="U39" s="1">
        <v>86319081</v>
      </c>
      <c r="V39" s="1">
        <v>2021</v>
      </c>
      <c r="W39" s="8">
        <v>33066901</v>
      </c>
      <c r="X39" s="1">
        <v>0.35299999999999998</v>
      </c>
      <c r="Y39" s="1">
        <v>0</v>
      </c>
      <c r="Z39" s="1">
        <v>0</v>
      </c>
      <c r="AA39" s="1">
        <v>182500000</v>
      </c>
      <c r="AB39" s="1">
        <v>8.3080531506849312E-2</v>
      </c>
      <c r="AC39" s="1">
        <v>3.722269589041096E-2</v>
      </c>
      <c r="AD39" s="1">
        <v>0.13049960547945205</v>
      </c>
      <c r="AE39" s="1">
        <v>4.9724515068493153E-2</v>
      </c>
      <c r="AF39" s="2">
        <f t="shared" si="5"/>
        <v>0.1802241205479452</v>
      </c>
      <c r="AG39" s="2">
        <f>AF39+AC39</f>
        <v>0.21744681643835617</v>
      </c>
      <c r="AH39" s="1">
        <v>0.10304820821917808</v>
      </c>
      <c r="AI39" s="2">
        <f t="shared" si="6"/>
        <v>0.30052734794520553</v>
      </c>
      <c r="AJ39" s="1">
        <v>0.14761437808219177</v>
      </c>
      <c r="AK39" s="1">
        <v>0.15919139726027398</v>
      </c>
      <c r="AL39" s="4">
        <f t="shared" si="7"/>
        <v>0.30680577534246578</v>
      </c>
      <c r="AM39" s="1">
        <v>8.1847156164383567E-2</v>
      </c>
      <c r="AN39" s="4">
        <f t="shared" si="8"/>
        <v>0.38865293150684932</v>
      </c>
      <c r="AO39" s="1">
        <v>4.8616438356164381E-2</v>
      </c>
      <c r="AP39" s="1">
        <v>3.5711895890410961E-2</v>
      </c>
      <c r="AQ39" s="4">
        <f t="shared" si="9"/>
        <v>8.4328334246575348E-2</v>
      </c>
      <c r="AR39" s="1">
        <v>0.47298126575342464</v>
      </c>
      <c r="AS39" s="1">
        <v>0.40357555616438356</v>
      </c>
      <c r="AT39" s="1">
        <v>0.12344317808219185</v>
      </c>
      <c r="AU39" s="1">
        <f t="shared" si="10"/>
        <v>0.18118849863013697</v>
      </c>
      <c r="AV39" s="1">
        <v>6</v>
      </c>
      <c r="AW39">
        <v>311</v>
      </c>
      <c r="AX39">
        <v>407</v>
      </c>
      <c r="AY39" s="6">
        <v>27</v>
      </c>
      <c r="AZ39" s="6">
        <v>22</v>
      </c>
      <c r="BA39" s="11">
        <f t="shared" si="11"/>
        <v>18.294117647058822</v>
      </c>
      <c r="BB39">
        <f t="shared" si="12"/>
        <v>23.941176470588236</v>
      </c>
      <c r="BC39">
        <f t="shared" si="13"/>
        <v>-96</v>
      </c>
      <c r="BD39">
        <f t="shared" si="14"/>
        <v>-5.6470588235294121</v>
      </c>
      <c r="BE39" s="10">
        <v>5.4383553961768802</v>
      </c>
      <c r="BF39" s="6">
        <v>27.435479999999998</v>
      </c>
      <c r="BG39" s="6">
        <v>28.88409</v>
      </c>
      <c r="BH39" s="6">
        <v>0.57778799999999997</v>
      </c>
      <c r="BI39" s="6">
        <v>0.54838699999999996</v>
      </c>
      <c r="BJ39" s="6"/>
      <c r="BK39" s="6" t="s">
        <v>67</v>
      </c>
      <c r="BL39" s="6" t="s">
        <v>74</v>
      </c>
      <c r="BM39" s="6" t="s">
        <v>102</v>
      </c>
      <c r="BN39" s="6" t="s">
        <v>70</v>
      </c>
    </row>
    <row r="40" spans="1:80">
      <c r="A40" s="1" t="s">
        <v>149</v>
      </c>
      <c r="B40" s="1">
        <v>2021</v>
      </c>
      <c r="C40" s="1" t="s">
        <v>87</v>
      </c>
      <c r="D40" s="1">
        <v>9918102</v>
      </c>
      <c r="E40" s="1">
        <v>11151410</v>
      </c>
      <c r="F40" s="1">
        <v>20240018</v>
      </c>
      <c r="G40" s="1">
        <v>8811429</v>
      </c>
      <c r="H40" s="2">
        <f t="shared" si="0"/>
        <v>29051447</v>
      </c>
      <c r="I40" s="2">
        <f>H40+E40</f>
        <v>40202857</v>
      </c>
      <c r="J40" s="1">
        <v>25634500</v>
      </c>
      <c r="K40" s="2">
        <f t="shared" si="1"/>
        <v>50120959</v>
      </c>
      <c r="L40" s="1">
        <v>75755459</v>
      </c>
      <c r="M40" s="1">
        <v>24636551</v>
      </c>
      <c r="N40" s="1">
        <v>18701932</v>
      </c>
      <c r="O40" s="4">
        <f t="shared" si="2"/>
        <v>43338483</v>
      </c>
      <c r="P40" s="1">
        <v>6670520</v>
      </c>
      <c r="Q40" s="4">
        <f t="shared" si="3"/>
        <v>50009003</v>
      </c>
      <c r="R40" s="1">
        <v>11945326</v>
      </c>
      <c r="S40" s="1">
        <v>32331140</v>
      </c>
      <c r="T40" s="4">
        <f t="shared" si="4"/>
        <v>44276466</v>
      </c>
      <c r="U40" s="1">
        <v>94285469</v>
      </c>
      <c r="V40" s="1">
        <v>2021</v>
      </c>
      <c r="W40" s="8">
        <v>17685584</v>
      </c>
      <c r="X40" s="1">
        <v>0.58799999999999997</v>
      </c>
      <c r="Y40" s="1">
        <v>1</v>
      </c>
      <c r="Z40" s="1">
        <v>0</v>
      </c>
      <c r="AA40" s="1">
        <v>182500000</v>
      </c>
      <c r="AB40" s="1">
        <v>5.4345764383561646E-2</v>
      </c>
      <c r="AC40" s="1">
        <v>6.1103616438356163E-2</v>
      </c>
      <c r="AD40" s="1">
        <v>0.11090420821917808</v>
      </c>
      <c r="AE40" s="1">
        <v>4.8281802739726029E-2</v>
      </c>
      <c r="AF40" s="2">
        <f t="shared" si="5"/>
        <v>0.15918601095890411</v>
      </c>
      <c r="AG40" s="2">
        <f>AF40+AC40</f>
        <v>0.22028962739726027</v>
      </c>
      <c r="AH40" s="1">
        <v>0.14046301369863012</v>
      </c>
      <c r="AI40" s="2">
        <f t="shared" si="6"/>
        <v>0.27463539178082191</v>
      </c>
      <c r="AJ40" s="1">
        <v>0.1349948</v>
      </c>
      <c r="AK40" s="1">
        <v>0.10247633972602739</v>
      </c>
      <c r="AL40" s="4">
        <f t="shared" si="7"/>
        <v>0.2374711397260274</v>
      </c>
      <c r="AM40" s="1">
        <v>3.6550794520547943E-2</v>
      </c>
      <c r="AN40" s="4">
        <f t="shared" si="8"/>
        <v>0.27402193424657534</v>
      </c>
      <c r="AO40" s="1">
        <v>6.5453841095890405E-2</v>
      </c>
      <c r="AP40" s="1">
        <v>0.1771569315068493</v>
      </c>
      <c r="AQ40" s="4">
        <f t="shared" si="9"/>
        <v>0.24261077260273972</v>
      </c>
      <c r="AR40" s="1">
        <v>0.51663270684931506</v>
      </c>
      <c r="AS40" s="1">
        <v>0.41509840547945204</v>
      </c>
      <c r="AT40" s="1">
        <v>6.8268887671232958E-2</v>
      </c>
      <c r="AU40" s="1">
        <f t="shared" si="10"/>
        <v>9.6907309589041091E-2</v>
      </c>
      <c r="AV40" s="1">
        <v>10</v>
      </c>
      <c r="AW40">
        <v>460</v>
      </c>
      <c r="AX40">
        <v>376</v>
      </c>
      <c r="AY40" s="6">
        <v>7</v>
      </c>
      <c r="AZ40" s="6">
        <v>17</v>
      </c>
      <c r="BA40" s="11">
        <f t="shared" si="11"/>
        <v>27.058823529411764</v>
      </c>
      <c r="BB40">
        <f t="shared" si="12"/>
        <v>22.117647058823529</v>
      </c>
      <c r="BC40">
        <f t="shared" si="13"/>
        <v>84</v>
      </c>
      <c r="BD40">
        <f t="shared" si="14"/>
        <v>4.9411764705882355</v>
      </c>
      <c r="BE40" s="10">
        <v>10.3586265283398</v>
      </c>
      <c r="BF40" s="6">
        <v>25.94444</v>
      </c>
      <c r="BG40" s="6">
        <v>26.6479</v>
      </c>
      <c r="BH40" s="6">
        <v>0.61323799999999995</v>
      </c>
      <c r="BI40" s="6">
        <v>0.54166700000000001</v>
      </c>
      <c r="BJ40" s="6"/>
      <c r="BK40" s="6" t="s">
        <v>73</v>
      </c>
      <c r="BL40" s="6" t="s">
        <v>68</v>
      </c>
      <c r="BM40" s="6" t="s">
        <v>99</v>
      </c>
      <c r="BN40" s="6" t="s">
        <v>93</v>
      </c>
    </row>
    <row r="41" spans="1:80">
      <c r="A41" s="1" t="s">
        <v>150</v>
      </c>
      <c r="B41" s="1">
        <v>2021</v>
      </c>
      <c r="C41" s="1" t="s">
        <v>89</v>
      </c>
      <c r="D41" s="1">
        <v>17953574</v>
      </c>
      <c r="E41" s="1">
        <v>12035178</v>
      </c>
      <c r="F41" s="1">
        <v>18397436</v>
      </c>
      <c r="G41" s="1">
        <v>16112858</v>
      </c>
      <c r="H41" s="2">
        <f t="shared" si="0"/>
        <v>34510294</v>
      </c>
      <c r="I41" s="2">
        <f>H41+E41</f>
        <v>46545472</v>
      </c>
      <c r="J41" s="1">
        <v>48082696</v>
      </c>
      <c r="K41" s="2">
        <f t="shared" si="1"/>
        <v>64499046</v>
      </c>
      <c r="L41" s="1">
        <v>112581742</v>
      </c>
      <c r="M41" s="1">
        <v>4940321</v>
      </c>
      <c r="N41" s="1">
        <v>18031468</v>
      </c>
      <c r="O41" s="4">
        <f t="shared" si="2"/>
        <v>22971789</v>
      </c>
      <c r="P41" s="1">
        <v>8430221</v>
      </c>
      <c r="Q41" s="4">
        <f t="shared" si="3"/>
        <v>31402010</v>
      </c>
      <c r="R41" s="1">
        <v>10599169</v>
      </c>
      <c r="S41" s="1">
        <v>16475385</v>
      </c>
      <c r="T41" s="4">
        <f t="shared" si="4"/>
        <v>27074554</v>
      </c>
      <c r="U41" s="1">
        <v>58476564</v>
      </c>
      <c r="V41" s="1">
        <v>2021</v>
      </c>
      <c r="W41" s="8">
        <v>46545095</v>
      </c>
      <c r="X41" s="1">
        <v>0.47099999999999997</v>
      </c>
      <c r="Y41" s="1">
        <v>0</v>
      </c>
      <c r="Z41" s="1">
        <v>0</v>
      </c>
      <c r="AA41" s="1">
        <v>182500000</v>
      </c>
      <c r="AB41" s="1">
        <v>9.8375747945205483E-2</v>
      </c>
      <c r="AC41" s="1">
        <v>6.5946180821917805E-2</v>
      </c>
      <c r="AD41" s="1">
        <v>0.10080786849315068</v>
      </c>
      <c r="AE41" s="1">
        <v>8.8289632876712335E-2</v>
      </c>
      <c r="AF41" s="2">
        <f t="shared" si="5"/>
        <v>0.18909750136986303</v>
      </c>
      <c r="AG41" s="2">
        <f>AF41+AC41</f>
        <v>0.25504368219178086</v>
      </c>
      <c r="AH41" s="1">
        <v>0.26346682739726029</v>
      </c>
      <c r="AI41" s="2">
        <f t="shared" si="6"/>
        <v>0.35341943013698629</v>
      </c>
      <c r="AJ41" s="1">
        <v>2.7070252054794519E-2</v>
      </c>
      <c r="AK41" s="1">
        <v>9.880256438356165E-2</v>
      </c>
      <c r="AL41" s="4">
        <f t="shared" si="7"/>
        <v>0.12587281643835618</v>
      </c>
      <c r="AM41" s="1">
        <v>4.6192991780821917E-2</v>
      </c>
      <c r="AN41" s="4">
        <f t="shared" si="8"/>
        <v>0.17206580821917811</v>
      </c>
      <c r="AO41" s="1">
        <v>5.8077638356164384E-2</v>
      </c>
      <c r="AP41" s="1">
        <v>9.0276082191780821E-2</v>
      </c>
      <c r="AQ41" s="4">
        <f t="shared" si="9"/>
        <v>0.14835372054794521</v>
      </c>
      <c r="AR41" s="1">
        <v>0.32041952876712326</v>
      </c>
      <c r="AS41" s="1">
        <v>0.61688625753424653</v>
      </c>
      <c r="AT41" s="1">
        <v>6.2694213698630152E-2</v>
      </c>
      <c r="AU41" s="1">
        <f t="shared" si="10"/>
        <v>0.25504161643835616</v>
      </c>
      <c r="AV41" s="1">
        <v>8</v>
      </c>
      <c r="AW41">
        <v>349</v>
      </c>
      <c r="AX41">
        <v>371</v>
      </c>
      <c r="AY41" s="6">
        <v>20</v>
      </c>
      <c r="AZ41" s="6">
        <v>13</v>
      </c>
      <c r="BA41" s="11">
        <f t="shared" si="11"/>
        <v>20.529411764705884</v>
      </c>
      <c r="BB41">
        <f t="shared" si="12"/>
        <v>21.823529411764707</v>
      </c>
      <c r="BC41">
        <f t="shared" si="13"/>
        <v>-22</v>
      </c>
      <c r="BD41">
        <f t="shared" si="14"/>
        <v>-1.2941176470588236</v>
      </c>
      <c r="BE41" s="10">
        <v>7.4611335283657398</v>
      </c>
      <c r="BF41" s="6">
        <v>25.617650000000001</v>
      </c>
      <c r="BG41" s="6">
        <v>26.969390000000001</v>
      </c>
      <c r="BH41" s="6">
        <v>0.62301399999999996</v>
      </c>
      <c r="BI41" s="6">
        <v>0.514706</v>
      </c>
      <c r="BJ41" s="6"/>
      <c r="BK41" s="6" t="s">
        <v>73</v>
      </c>
      <c r="BL41" s="6" t="s">
        <v>68</v>
      </c>
      <c r="BM41" s="6" t="s">
        <v>99</v>
      </c>
      <c r="BN41" s="6" t="s">
        <v>93</v>
      </c>
    </row>
    <row r="42" spans="1:80">
      <c r="A42" s="1" t="s">
        <v>151</v>
      </c>
      <c r="B42" s="1">
        <v>2021</v>
      </c>
      <c r="C42" s="1" t="s">
        <v>91</v>
      </c>
      <c r="D42" s="1">
        <v>19135600</v>
      </c>
      <c r="E42" s="1">
        <v>9421449</v>
      </c>
      <c r="F42" s="1">
        <v>33396526</v>
      </c>
      <c r="G42" s="1">
        <v>8390452</v>
      </c>
      <c r="H42" s="2">
        <f t="shared" si="0"/>
        <v>41786978</v>
      </c>
      <c r="I42" s="2">
        <f>H42+E42</f>
        <v>51208427</v>
      </c>
      <c r="J42" s="1">
        <v>33054614</v>
      </c>
      <c r="K42" s="2">
        <f t="shared" si="1"/>
        <v>70344027</v>
      </c>
      <c r="L42" s="1">
        <v>103398641</v>
      </c>
      <c r="M42" s="1">
        <v>7668124</v>
      </c>
      <c r="N42" s="1">
        <v>31773423</v>
      </c>
      <c r="O42" s="4">
        <f t="shared" si="2"/>
        <v>39441547</v>
      </c>
      <c r="P42" s="1">
        <v>11100359</v>
      </c>
      <c r="Q42" s="4">
        <f t="shared" si="3"/>
        <v>50541906</v>
      </c>
      <c r="R42" s="1">
        <v>5742020</v>
      </c>
      <c r="S42" s="1">
        <v>15221629</v>
      </c>
      <c r="T42" s="4">
        <f t="shared" si="4"/>
        <v>20963649</v>
      </c>
      <c r="U42" s="1">
        <v>71505555</v>
      </c>
      <c r="V42" s="1">
        <v>2021</v>
      </c>
      <c r="W42" s="8">
        <v>10017026</v>
      </c>
      <c r="X42" s="1">
        <v>0.70599999999999996</v>
      </c>
      <c r="Y42" s="1">
        <v>1</v>
      </c>
      <c r="Z42" s="1">
        <v>0</v>
      </c>
      <c r="AA42" s="1">
        <v>182500000</v>
      </c>
      <c r="AB42" s="1">
        <v>0.10485260273972603</v>
      </c>
      <c r="AC42" s="1">
        <v>5.162437808219178E-2</v>
      </c>
      <c r="AD42" s="1">
        <v>0.18299466301369863</v>
      </c>
      <c r="AE42" s="1">
        <v>4.5975079452054791E-2</v>
      </c>
      <c r="AF42" s="2">
        <f t="shared" si="5"/>
        <v>0.22896974246575341</v>
      </c>
      <c r="AG42" s="2">
        <f>AF42+AC42</f>
        <v>0.28059412054794519</v>
      </c>
      <c r="AH42" s="1">
        <v>0.18112117260273972</v>
      </c>
      <c r="AI42" s="2">
        <f t="shared" si="6"/>
        <v>0.38544672328767127</v>
      </c>
      <c r="AJ42" s="1">
        <v>4.2017117808219179E-2</v>
      </c>
      <c r="AK42" s="1">
        <v>0.17410094794520548</v>
      </c>
      <c r="AL42" s="4">
        <f t="shared" si="7"/>
        <v>0.21611806575342465</v>
      </c>
      <c r="AM42" s="1">
        <v>6.0823884931506852E-2</v>
      </c>
      <c r="AN42" s="4">
        <f t="shared" si="8"/>
        <v>0.27694195068493149</v>
      </c>
      <c r="AO42" s="1">
        <v>3.146312328767123E-2</v>
      </c>
      <c r="AP42" s="1">
        <v>8.3406186301369867E-2</v>
      </c>
      <c r="AQ42" s="4">
        <f t="shared" si="9"/>
        <v>0.1148693095890411</v>
      </c>
      <c r="AR42" s="1">
        <v>0.39181126027397262</v>
      </c>
      <c r="AS42" s="1">
        <v>0.56656789589041101</v>
      </c>
      <c r="AT42" s="1">
        <v>4.1620843835616372E-2</v>
      </c>
      <c r="AU42" s="1">
        <f t="shared" si="10"/>
        <v>5.488781369863014E-2</v>
      </c>
      <c r="AV42" s="1">
        <v>12</v>
      </c>
      <c r="AW42">
        <v>530</v>
      </c>
      <c r="AX42">
        <v>358</v>
      </c>
      <c r="AY42" s="6">
        <v>1</v>
      </c>
      <c r="AZ42" s="6">
        <v>7</v>
      </c>
      <c r="BA42" s="11">
        <f t="shared" si="11"/>
        <v>31.176470588235293</v>
      </c>
      <c r="BB42">
        <f t="shared" si="12"/>
        <v>21.058823529411764</v>
      </c>
      <c r="BC42">
        <f t="shared" si="13"/>
        <v>172</v>
      </c>
      <c r="BD42">
        <f t="shared" si="14"/>
        <v>10.117647058823529</v>
      </c>
      <c r="BE42" s="10">
        <v>12.7640924153299</v>
      </c>
      <c r="BF42" s="6">
        <v>25.97101</v>
      </c>
      <c r="BG42" s="6">
        <v>27.346240000000002</v>
      </c>
      <c r="BH42" s="6">
        <v>0.61944399999999999</v>
      </c>
      <c r="BI42" s="6">
        <v>0.56521699999999997</v>
      </c>
      <c r="BJ42" s="6"/>
      <c r="BK42" s="6" t="s">
        <v>73</v>
      </c>
      <c r="BL42" s="6" t="s">
        <v>68</v>
      </c>
      <c r="BM42" s="6" t="s">
        <v>99</v>
      </c>
      <c r="BN42" s="6" t="s">
        <v>93</v>
      </c>
    </row>
    <row r="43" spans="1:80">
      <c r="A43" s="1" t="s">
        <v>152</v>
      </c>
      <c r="B43" s="1">
        <v>2021</v>
      </c>
      <c r="C43" s="1" t="s">
        <v>95</v>
      </c>
      <c r="D43" s="1">
        <v>7063475</v>
      </c>
      <c r="E43" s="1">
        <v>12823198</v>
      </c>
      <c r="F43" s="1">
        <v>15644823</v>
      </c>
      <c r="G43" s="1">
        <v>5387629</v>
      </c>
      <c r="H43" s="2">
        <f t="shared" si="0"/>
        <v>21032452</v>
      </c>
      <c r="I43" s="2">
        <f>H43+E43</f>
        <v>33855650</v>
      </c>
      <c r="J43" s="1">
        <v>27755031</v>
      </c>
      <c r="K43" s="2">
        <f t="shared" si="1"/>
        <v>40919125</v>
      </c>
      <c r="L43" s="1">
        <v>68674156</v>
      </c>
      <c r="M43" s="1">
        <v>10943846</v>
      </c>
      <c r="N43" s="1">
        <v>12395715</v>
      </c>
      <c r="O43" s="4">
        <f t="shared" si="2"/>
        <v>23339561</v>
      </c>
      <c r="P43" s="1">
        <v>10360250</v>
      </c>
      <c r="Q43" s="4">
        <f t="shared" si="3"/>
        <v>33699811</v>
      </c>
      <c r="R43" s="1">
        <v>13133496</v>
      </c>
      <c r="S43" s="1">
        <v>28883123</v>
      </c>
      <c r="T43" s="4">
        <f t="shared" si="4"/>
        <v>42016619</v>
      </c>
      <c r="U43" s="1">
        <v>75716430</v>
      </c>
      <c r="V43" s="1">
        <v>2021</v>
      </c>
      <c r="W43" s="8">
        <v>43515363</v>
      </c>
      <c r="X43" s="1">
        <v>0.41199999999999998</v>
      </c>
      <c r="Y43" s="1">
        <v>0</v>
      </c>
      <c r="Z43" s="1">
        <v>0</v>
      </c>
      <c r="AA43" s="1">
        <v>182500000</v>
      </c>
      <c r="AB43" s="1">
        <v>3.8703972602739729E-2</v>
      </c>
      <c r="AC43" s="1">
        <v>7.0264098630136981E-2</v>
      </c>
      <c r="AD43" s="1">
        <v>8.5725057534246571E-2</v>
      </c>
      <c r="AE43" s="1">
        <v>2.9521254794520547E-2</v>
      </c>
      <c r="AF43" s="2">
        <f t="shared" si="5"/>
        <v>0.11524631232876711</v>
      </c>
      <c r="AG43" s="2">
        <f>AF43+AC43</f>
        <v>0.18551041095890408</v>
      </c>
      <c r="AH43" s="1">
        <v>0.15208236164383562</v>
      </c>
      <c r="AI43" s="2">
        <f t="shared" si="6"/>
        <v>0.22421438356164386</v>
      </c>
      <c r="AJ43" s="1">
        <v>5.9966279452054794E-2</v>
      </c>
      <c r="AK43" s="1">
        <v>6.7921726027397267E-2</v>
      </c>
      <c r="AL43" s="4">
        <f t="shared" si="7"/>
        <v>0.12788800547945206</v>
      </c>
      <c r="AM43" s="1">
        <v>5.6768493150684933E-2</v>
      </c>
      <c r="AN43" s="4">
        <f t="shared" si="8"/>
        <v>0.184656498630137</v>
      </c>
      <c r="AO43" s="1">
        <v>7.1964361643835614E-2</v>
      </c>
      <c r="AP43" s="1">
        <v>0.15826368767123289</v>
      </c>
      <c r="AQ43" s="4">
        <f t="shared" si="9"/>
        <v>0.23022804931506852</v>
      </c>
      <c r="AR43" s="1">
        <v>0.41488454794520546</v>
      </c>
      <c r="AS43" s="1">
        <v>0.37629674520547945</v>
      </c>
      <c r="AT43" s="1">
        <v>0.20881870684931503</v>
      </c>
      <c r="AU43" s="1">
        <f t="shared" si="10"/>
        <v>0.23844034520547946</v>
      </c>
      <c r="AV43" s="1">
        <v>7</v>
      </c>
      <c r="AW43">
        <v>335</v>
      </c>
      <c r="AX43">
        <v>322</v>
      </c>
      <c r="AY43" s="6">
        <v>23</v>
      </c>
      <c r="AZ43" s="6">
        <v>3</v>
      </c>
      <c r="BA43" s="11">
        <f t="shared" si="11"/>
        <v>19.705882352941178</v>
      </c>
      <c r="BB43">
        <f t="shared" si="12"/>
        <v>18.941176470588236</v>
      </c>
      <c r="BC43">
        <f t="shared" si="13"/>
        <v>13</v>
      </c>
      <c r="BD43">
        <f t="shared" si="14"/>
        <v>0.76470588235294112</v>
      </c>
      <c r="BE43" s="10">
        <v>8.4178529149041292</v>
      </c>
      <c r="BF43" s="6">
        <v>25.915489999999998</v>
      </c>
      <c r="BG43" s="6">
        <v>27.288830000000001</v>
      </c>
      <c r="BH43" s="6">
        <v>0.55146499999999998</v>
      </c>
      <c r="BI43" s="6">
        <v>0.53521099999999999</v>
      </c>
      <c r="BJ43" s="6"/>
      <c r="BK43" s="6" t="s">
        <v>73</v>
      </c>
      <c r="BL43" s="6" t="s">
        <v>74</v>
      </c>
      <c r="BM43" s="6" t="s">
        <v>75</v>
      </c>
      <c r="BN43" s="6" t="s">
        <v>75</v>
      </c>
    </row>
    <row r="44" spans="1:80">
      <c r="A44" s="1" t="s">
        <v>153</v>
      </c>
      <c r="B44" s="1">
        <v>2021</v>
      </c>
      <c r="C44" s="1" t="s">
        <v>98</v>
      </c>
      <c r="D44" s="1">
        <v>14042071</v>
      </c>
      <c r="E44" s="1">
        <v>5166911</v>
      </c>
      <c r="F44" s="1">
        <v>5166732</v>
      </c>
      <c r="G44" s="1">
        <v>6768589</v>
      </c>
      <c r="H44" s="2">
        <f t="shared" si="0"/>
        <v>11935321</v>
      </c>
      <c r="I44" s="2">
        <f>H44+E44</f>
        <v>17102232</v>
      </c>
      <c r="J44" s="1">
        <v>30734194</v>
      </c>
      <c r="K44" s="2">
        <f t="shared" si="1"/>
        <v>31144303</v>
      </c>
      <c r="L44" s="1">
        <v>61878497</v>
      </c>
      <c r="M44" s="1">
        <v>10650670</v>
      </c>
      <c r="N44" s="1">
        <v>28999584</v>
      </c>
      <c r="O44" s="4">
        <f t="shared" si="2"/>
        <v>39650254</v>
      </c>
      <c r="P44" s="1">
        <v>6343876</v>
      </c>
      <c r="Q44" s="4">
        <f t="shared" si="3"/>
        <v>45994130</v>
      </c>
      <c r="R44" s="1">
        <v>6480559</v>
      </c>
      <c r="S44" s="1">
        <v>11531638</v>
      </c>
      <c r="T44" s="4">
        <f t="shared" si="4"/>
        <v>18012197</v>
      </c>
      <c r="U44" s="1">
        <v>64006327</v>
      </c>
      <c r="V44" s="1">
        <v>2021</v>
      </c>
      <c r="W44" s="8">
        <v>52394859</v>
      </c>
      <c r="X44" s="1">
        <v>0.20599999999999999</v>
      </c>
      <c r="Y44" s="1">
        <v>0</v>
      </c>
      <c r="Z44" s="1">
        <v>0</v>
      </c>
      <c r="AA44" s="1">
        <v>182500000</v>
      </c>
      <c r="AB44" s="1">
        <v>7.6942854794520552E-2</v>
      </c>
      <c r="AC44" s="1">
        <v>2.8311841095890411E-2</v>
      </c>
      <c r="AD44" s="1">
        <v>2.8310860273972602E-2</v>
      </c>
      <c r="AE44" s="1">
        <v>3.7088158904109589E-2</v>
      </c>
      <c r="AF44" s="2">
        <f t="shared" si="5"/>
        <v>6.5399019178082191E-2</v>
      </c>
      <c r="AG44" s="2">
        <f>AF44+AC44</f>
        <v>9.3710860273972602E-2</v>
      </c>
      <c r="AH44" s="1">
        <v>0.16840654246575343</v>
      </c>
      <c r="AI44" s="2">
        <f t="shared" si="6"/>
        <v>0.17065371506849314</v>
      </c>
      <c r="AJ44" s="1">
        <v>5.8359835616438357E-2</v>
      </c>
      <c r="AK44" s="1">
        <v>0.15890183013698631</v>
      </c>
      <c r="AL44" s="4">
        <f t="shared" si="7"/>
        <v>0.21726166575342465</v>
      </c>
      <c r="AM44" s="1">
        <v>3.4760964383561646E-2</v>
      </c>
      <c r="AN44" s="4">
        <f t="shared" si="8"/>
        <v>0.25202263013698628</v>
      </c>
      <c r="AO44" s="1">
        <v>3.5509912328767122E-2</v>
      </c>
      <c r="AP44" s="1">
        <v>6.3187057534246568E-2</v>
      </c>
      <c r="AQ44" s="4">
        <f t="shared" si="9"/>
        <v>9.8696969863013684E-2</v>
      </c>
      <c r="AR44" s="1">
        <v>0.35071960000000002</v>
      </c>
      <c r="AS44" s="1">
        <v>0.33906025753424657</v>
      </c>
      <c r="AT44" s="1">
        <v>0.31022014246575336</v>
      </c>
      <c r="AU44" s="1">
        <f t="shared" si="10"/>
        <v>0.28709511780821917</v>
      </c>
      <c r="AV44" s="1">
        <v>3</v>
      </c>
      <c r="AW44">
        <v>325</v>
      </c>
      <c r="AX44">
        <v>467</v>
      </c>
      <c r="AY44" s="6">
        <v>25</v>
      </c>
      <c r="AZ44" s="6">
        <v>31</v>
      </c>
      <c r="BA44" s="11">
        <f t="shared" si="11"/>
        <v>19.117647058823529</v>
      </c>
      <c r="BB44">
        <f t="shared" si="12"/>
        <v>27.470588235294116</v>
      </c>
      <c r="BC44">
        <f t="shared" si="13"/>
        <v>-142</v>
      </c>
      <c r="BD44">
        <f t="shared" si="14"/>
        <v>-8.3529411764705888</v>
      </c>
      <c r="BE44" s="10">
        <v>4.18095277405516</v>
      </c>
      <c r="BF44" s="6">
        <v>25.02778</v>
      </c>
      <c r="BG44" s="6">
        <v>25.950939999999999</v>
      </c>
      <c r="BH44" s="6">
        <v>0.60403200000000001</v>
      </c>
      <c r="BI44" s="6">
        <v>0.38888899999999998</v>
      </c>
      <c r="BJ44" s="6"/>
      <c r="BK44" s="6" t="s">
        <v>73</v>
      </c>
      <c r="BL44" s="6" t="s">
        <v>68</v>
      </c>
      <c r="BM44" s="6" t="s">
        <v>99</v>
      </c>
      <c r="BN44" s="6" t="s">
        <v>93</v>
      </c>
    </row>
    <row r="45" spans="1:80">
      <c r="A45" s="1" t="s">
        <v>154</v>
      </c>
      <c r="B45" s="1">
        <v>2021</v>
      </c>
      <c r="C45" s="1" t="s">
        <v>101</v>
      </c>
      <c r="D45" s="1">
        <v>30581060</v>
      </c>
      <c r="E45" s="1">
        <v>6594753</v>
      </c>
      <c r="F45" s="1">
        <v>25476456</v>
      </c>
      <c r="G45" s="1">
        <v>6298940</v>
      </c>
      <c r="H45" s="2">
        <f>SUM(F45:G45)</f>
        <v>31775396</v>
      </c>
      <c r="I45" s="2">
        <f>H45+E45</f>
        <v>38370149</v>
      </c>
      <c r="J45" s="1">
        <v>25662744</v>
      </c>
      <c r="K45" s="2">
        <f>SUM(D45:G45)</f>
        <v>68951209</v>
      </c>
      <c r="L45" s="1">
        <v>94613953</v>
      </c>
      <c r="M45" s="1">
        <v>14912057</v>
      </c>
      <c r="N45" s="1">
        <v>30741794</v>
      </c>
      <c r="O45" s="4">
        <f>SUM(M45:N45)</f>
        <v>45653851</v>
      </c>
      <c r="P45" s="1">
        <v>3709686</v>
      </c>
      <c r="Q45" s="4">
        <f>SUM(O45:P45)</f>
        <v>49363537</v>
      </c>
      <c r="R45" s="1">
        <v>12249104</v>
      </c>
      <c r="S45" s="1">
        <v>10494161</v>
      </c>
      <c r="T45" s="4">
        <f>SUM(R45:S45)</f>
        <v>22743265</v>
      </c>
      <c r="U45" s="1">
        <v>72106802</v>
      </c>
      <c r="V45" s="1">
        <v>2021</v>
      </c>
      <c r="W45" s="8">
        <v>6802181</v>
      </c>
      <c r="X45" s="1">
        <v>0.76500000000000001</v>
      </c>
      <c r="Y45" s="1">
        <v>1</v>
      </c>
      <c r="Z45" s="1">
        <v>0</v>
      </c>
      <c r="AA45" s="1">
        <v>182500000</v>
      </c>
      <c r="AB45" s="1">
        <v>0.16756745205479451</v>
      </c>
      <c r="AC45" s="1">
        <v>3.6135632876712329E-2</v>
      </c>
      <c r="AD45" s="1">
        <v>0.1395970191780822</v>
      </c>
      <c r="AE45" s="1">
        <v>3.4514739726027401E-2</v>
      </c>
      <c r="AF45" s="2">
        <f>SUM(AD45:AE45)</f>
        <v>0.1741117589041096</v>
      </c>
      <c r="AG45" s="2">
        <f>AF45+AC45</f>
        <v>0.21024739178082191</v>
      </c>
      <c r="AH45" s="1">
        <v>0.14061777534246575</v>
      </c>
      <c r="AI45" s="2">
        <f>SUM(AB45:AE45)</f>
        <v>0.37781484383561648</v>
      </c>
      <c r="AJ45" s="1">
        <v>8.1709901369863017E-2</v>
      </c>
      <c r="AK45" s="1">
        <v>0.16844818630136987</v>
      </c>
      <c r="AL45" s="4">
        <f>SUM(AJ45:AK45)</f>
        <v>0.25015808767123288</v>
      </c>
      <c r="AM45" s="1">
        <v>2.0327046575342466E-2</v>
      </c>
      <c r="AN45" s="4">
        <f>SUM(AL45:AM45)</f>
        <v>0.27048513424657533</v>
      </c>
      <c r="AO45" s="1">
        <v>6.7118378082191787E-2</v>
      </c>
      <c r="AP45" s="1">
        <v>5.750225205479452E-2</v>
      </c>
      <c r="AQ45" s="4">
        <f>SUM(AO45:AP45)</f>
        <v>0.12462063013698631</v>
      </c>
      <c r="AR45" s="1">
        <v>0.39510576438356165</v>
      </c>
      <c r="AS45" s="1">
        <v>0.51843261917808214</v>
      </c>
      <c r="AT45" s="1">
        <v>8.6461616438356259E-2</v>
      </c>
      <c r="AU45" s="1">
        <f t="shared" si="10"/>
        <v>3.7272224657534249E-2</v>
      </c>
      <c r="AV45" s="1">
        <v>13</v>
      </c>
      <c r="AW45">
        <v>450</v>
      </c>
      <c r="AX45">
        <v>371</v>
      </c>
      <c r="AY45" s="6">
        <v>10</v>
      </c>
      <c r="AZ45" s="6">
        <v>13</v>
      </c>
      <c r="BA45" s="11">
        <f t="shared" si="11"/>
        <v>26.470588235294116</v>
      </c>
      <c r="BB45">
        <f t="shared" si="12"/>
        <v>21.823529411764707</v>
      </c>
      <c r="BC45">
        <f t="shared" si="13"/>
        <v>79</v>
      </c>
      <c r="BD45">
        <f t="shared" si="14"/>
        <v>4.6470588235294121</v>
      </c>
      <c r="BE45" s="10">
        <v>10.2219523302629</v>
      </c>
      <c r="BF45" s="6">
        <v>25.98462</v>
      </c>
      <c r="BG45" s="6">
        <v>29.180859999999999</v>
      </c>
      <c r="BH45" s="6">
        <v>0.62489700000000004</v>
      </c>
      <c r="BI45" s="6">
        <v>0.584615</v>
      </c>
      <c r="BJ45" s="6"/>
      <c r="BK45" s="6" t="s">
        <v>67</v>
      </c>
      <c r="BL45" s="6" t="s">
        <v>68</v>
      </c>
      <c r="BM45" s="6" t="s">
        <v>69</v>
      </c>
      <c r="BN45" s="6" t="s">
        <v>70</v>
      </c>
    </row>
    <row r="46" spans="1:80">
      <c r="A46" s="1" t="s">
        <v>155</v>
      </c>
      <c r="B46" s="1">
        <v>2021</v>
      </c>
      <c r="C46" s="1" t="s">
        <v>104</v>
      </c>
      <c r="D46" s="1">
        <v>22848835</v>
      </c>
      <c r="E46" s="1">
        <v>8294192</v>
      </c>
      <c r="F46" s="1">
        <v>11736292</v>
      </c>
      <c r="G46" s="1">
        <v>5623184</v>
      </c>
      <c r="H46" s="2">
        <f t="shared" si="0"/>
        <v>17359476</v>
      </c>
      <c r="I46" s="2">
        <f>H46+E46</f>
        <v>25653668</v>
      </c>
      <c r="J46" s="1">
        <v>29182608</v>
      </c>
      <c r="K46" s="2">
        <f t="shared" si="1"/>
        <v>48502503</v>
      </c>
      <c r="L46" s="1">
        <v>77685111</v>
      </c>
      <c r="M46" s="1">
        <v>9920959</v>
      </c>
      <c r="N46" s="1">
        <v>6488018</v>
      </c>
      <c r="O46" s="4">
        <f t="shared" si="2"/>
        <v>16408977</v>
      </c>
      <c r="P46" s="1">
        <v>13244544</v>
      </c>
      <c r="Q46" s="4">
        <f t="shared" si="3"/>
        <v>29653521</v>
      </c>
      <c r="R46" s="1">
        <v>13656590</v>
      </c>
      <c r="S46" s="1">
        <v>13021581</v>
      </c>
      <c r="T46" s="4">
        <f t="shared" si="4"/>
        <v>26678171</v>
      </c>
      <c r="U46" s="1">
        <v>56331692</v>
      </c>
      <c r="V46" s="1">
        <v>2021</v>
      </c>
      <c r="W46" s="8">
        <v>22643248</v>
      </c>
      <c r="X46" s="1">
        <v>0.23499999999999999</v>
      </c>
      <c r="Y46" s="1">
        <v>0</v>
      </c>
      <c r="Z46" s="1">
        <v>0</v>
      </c>
      <c r="AA46" s="1">
        <v>182500000</v>
      </c>
      <c r="AB46" s="1">
        <v>0.12519909589041095</v>
      </c>
      <c r="AC46" s="1">
        <v>4.5447627397260271E-2</v>
      </c>
      <c r="AD46" s="1">
        <v>6.4308449315068489E-2</v>
      </c>
      <c r="AE46" s="1">
        <v>3.0811967123287671E-2</v>
      </c>
      <c r="AF46" s="2">
        <f t="shared" si="5"/>
        <v>9.5120416438356156E-2</v>
      </c>
      <c r="AG46" s="2">
        <f>AF46+AC46</f>
        <v>0.14056804383561644</v>
      </c>
      <c r="AH46" s="1">
        <v>0.15990470136986301</v>
      </c>
      <c r="AI46" s="2">
        <f t="shared" si="6"/>
        <v>0.26576713972602739</v>
      </c>
      <c r="AJ46" s="1">
        <v>5.4361419178082189E-2</v>
      </c>
      <c r="AK46" s="1">
        <v>3.5550783561643838E-2</v>
      </c>
      <c r="AL46" s="4">
        <f t="shared" si="7"/>
        <v>8.9912202739726027E-2</v>
      </c>
      <c r="AM46" s="1">
        <v>7.2572843835616435E-2</v>
      </c>
      <c r="AN46" s="4">
        <f t="shared" si="8"/>
        <v>0.16248504657534246</v>
      </c>
      <c r="AO46" s="1">
        <v>7.4830630136986306E-2</v>
      </c>
      <c r="AP46" s="1">
        <v>7.1351128767123281E-2</v>
      </c>
      <c r="AQ46" s="4">
        <f t="shared" si="9"/>
        <v>0.14618175890410959</v>
      </c>
      <c r="AR46" s="1">
        <v>0.30866680547945208</v>
      </c>
      <c r="AS46" s="1">
        <v>0.4256718410958904</v>
      </c>
      <c r="AT46" s="1">
        <v>0.26566135342465746</v>
      </c>
      <c r="AU46" s="1">
        <f t="shared" si="10"/>
        <v>0.12407259178082192</v>
      </c>
      <c r="AV46" s="1">
        <v>4</v>
      </c>
      <c r="AW46">
        <v>280</v>
      </c>
      <c r="AX46">
        <v>452</v>
      </c>
      <c r="AY46" s="6">
        <v>30</v>
      </c>
      <c r="AZ46" s="6">
        <v>27</v>
      </c>
      <c r="BA46" s="11">
        <f t="shared" si="11"/>
        <v>16.470588235294116</v>
      </c>
      <c r="BB46">
        <f t="shared" si="12"/>
        <v>26.588235294117649</v>
      </c>
      <c r="BC46">
        <f t="shared" si="13"/>
        <v>-172</v>
      </c>
      <c r="BD46">
        <f t="shared" si="14"/>
        <v>-10.117647058823529</v>
      </c>
      <c r="BE46" s="10">
        <v>3.3609075846643099</v>
      </c>
      <c r="BF46" s="6">
        <v>26.794119999999999</v>
      </c>
      <c r="BG46" s="6">
        <v>27.568529999999999</v>
      </c>
      <c r="BH46" s="6">
        <v>0.53151700000000002</v>
      </c>
      <c r="BI46" s="6">
        <v>0.29411799999999999</v>
      </c>
      <c r="BJ46" s="6"/>
      <c r="BK46" s="6" t="s">
        <v>73</v>
      </c>
      <c r="BL46" s="6" t="s">
        <v>74</v>
      </c>
      <c r="BM46" s="6" t="s">
        <v>75</v>
      </c>
      <c r="BN46" s="6" t="s">
        <v>75</v>
      </c>
    </row>
    <row r="47" spans="1:80">
      <c r="A47" s="1" t="s">
        <v>156</v>
      </c>
      <c r="B47" s="1">
        <v>2021</v>
      </c>
      <c r="C47" s="1" t="s">
        <v>106</v>
      </c>
      <c r="D47" s="1">
        <v>22136113</v>
      </c>
      <c r="E47" s="1">
        <v>6827157</v>
      </c>
      <c r="F47" s="1">
        <v>16192231</v>
      </c>
      <c r="G47" s="1">
        <v>10466191</v>
      </c>
      <c r="H47" s="2">
        <f t="shared" si="0"/>
        <v>26658422</v>
      </c>
      <c r="I47" s="2">
        <f>H47+E47</f>
        <v>33485579</v>
      </c>
      <c r="J47" s="1">
        <v>43792546</v>
      </c>
      <c r="K47" s="2">
        <f t="shared" si="1"/>
        <v>55621692</v>
      </c>
      <c r="L47" s="1">
        <v>99414238</v>
      </c>
      <c r="M47" s="1">
        <v>29958645</v>
      </c>
      <c r="N47" s="1">
        <v>11329895</v>
      </c>
      <c r="O47" s="4">
        <f t="shared" si="2"/>
        <v>41288540</v>
      </c>
      <c r="P47" s="1">
        <v>13284980</v>
      </c>
      <c r="Q47" s="4">
        <f t="shared" si="3"/>
        <v>54573520</v>
      </c>
      <c r="R47" s="1">
        <v>5690631</v>
      </c>
      <c r="S47" s="1">
        <v>17788830</v>
      </c>
      <c r="T47" s="4">
        <f t="shared" si="4"/>
        <v>23479461</v>
      </c>
      <c r="U47" s="1">
        <v>78052981</v>
      </c>
      <c r="V47" s="1">
        <v>2021</v>
      </c>
      <c r="W47" s="8">
        <v>8862253</v>
      </c>
      <c r="X47" s="1">
        <v>0.52900000000000003</v>
      </c>
      <c r="Y47" s="1">
        <v>0</v>
      </c>
      <c r="Z47" s="1">
        <v>0</v>
      </c>
      <c r="AA47" s="1">
        <v>182500000</v>
      </c>
      <c r="AB47" s="1">
        <v>0.1212937698630137</v>
      </c>
      <c r="AC47" s="1">
        <v>3.7409079452054794E-2</v>
      </c>
      <c r="AD47" s="1">
        <v>8.8724553424657529E-2</v>
      </c>
      <c r="AE47" s="1">
        <v>5.7348991780821916E-2</v>
      </c>
      <c r="AF47" s="2">
        <f t="shared" si="5"/>
        <v>0.14607354520547944</v>
      </c>
      <c r="AG47" s="2">
        <f>AF47+AC47</f>
        <v>0.18348262465753423</v>
      </c>
      <c r="AH47" s="1">
        <v>0.23995915616438357</v>
      </c>
      <c r="AI47" s="2">
        <f t="shared" si="6"/>
        <v>0.30477639452054794</v>
      </c>
      <c r="AJ47" s="1">
        <v>0.16415695890410958</v>
      </c>
      <c r="AK47" s="1">
        <v>6.2081616438356163E-2</v>
      </c>
      <c r="AL47" s="4">
        <f t="shared" si="7"/>
        <v>0.22623857534246575</v>
      </c>
      <c r="AM47" s="1">
        <v>7.2794410958904113E-2</v>
      </c>
      <c r="AN47" s="4">
        <f t="shared" si="8"/>
        <v>0.29903298630136987</v>
      </c>
      <c r="AO47" s="1">
        <v>3.1181539726027396E-2</v>
      </c>
      <c r="AP47" s="1">
        <v>9.7473041095890417E-2</v>
      </c>
      <c r="AQ47" s="4">
        <f t="shared" si="9"/>
        <v>0.1286545808219178</v>
      </c>
      <c r="AR47" s="1">
        <v>0.42768756712328765</v>
      </c>
      <c r="AS47" s="1">
        <v>0.54473555068493151</v>
      </c>
      <c r="AT47" s="1">
        <v>2.7576882191780783E-2</v>
      </c>
      <c r="AU47" s="1">
        <f t="shared" si="10"/>
        <v>4.8560290410958905E-2</v>
      </c>
      <c r="AV47" s="1">
        <v>9</v>
      </c>
      <c r="AW47">
        <v>451</v>
      </c>
      <c r="AX47">
        <v>365</v>
      </c>
      <c r="AY47" s="6">
        <v>9</v>
      </c>
      <c r="AZ47" s="6">
        <v>9</v>
      </c>
      <c r="BA47" s="11">
        <f t="shared" si="11"/>
        <v>26.529411764705884</v>
      </c>
      <c r="BB47">
        <f t="shared" si="12"/>
        <v>21.470588235294116</v>
      </c>
      <c r="BC47">
        <f t="shared" si="13"/>
        <v>86</v>
      </c>
      <c r="BD47">
        <f t="shared" si="14"/>
        <v>5.0588235294117645</v>
      </c>
      <c r="BE47" s="10">
        <v>10.413296207198799</v>
      </c>
      <c r="BF47" s="6">
        <v>26.149249999999999</v>
      </c>
      <c r="BG47" s="6">
        <v>27.269950000000001</v>
      </c>
      <c r="BH47" s="6">
        <v>0.58934500000000001</v>
      </c>
      <c r="BI47" s="6">
        <v>0.59701499999999996</v>
      </c>
      <c r="BJ47" s="6"/>
      <c r="BK47" s="6" t="s">
        <v>73</v>
      </c>
      <c r="BL47" s="6" t="s">
        <v>74</v>
      </c>
      <c r="BM47" s="6" t="s">
        <v>75</v>
      </c>
      <c r="BN47" s="6" t="s">
        <v>93</v>
      </c>
    </row>
    <row r="48" spans="1:80">
      <c r="A48" s="1" t="s">
        <v>157</v>
      </c>
      <c r="B48" s="1">
        <v>2021</v>
      </c>
      <c r="C48" s="1" t="s">
        <v>108</v>
      </c>
      <c r="D48" s="1">
        <v>8947733</v>
      </c>
      <c r="E48" s="1">
        <v>6466686</v>
      </c>
      <c r="F48" s="1">
        <v>14495851</v>
      </c>
      <c r="G48" s="1">
        <v>6349550</v>
      </c>
      <c r="H48" s="2">
        <f t="shared" si="0"/>
        <v>20845401</v>
      </c>
      <c r="I48" s="2">
        <f>H48+E48</f>
        <v>27312087</v>
      </c>
      <c r="J48" s="1">
        <v>51489049</v>
      </c>
      <c r="K48" s="2">
        <f t="shared" si="1"/>
        <v>36259820</v>
      </c>
      <c r="L48" s="1">
        <v>87748869</v>
      </c>
      <c r="M48" s="1">
        <v>12950289</v>
      </c>
      <c r="N48" s="1">
        <v>18128257</v>
      </c>
      <c r="O48" s="4">
        <f t="shared" si="2"/>
        <v>31078546</v>
      </c>
      <c r="P48" s="1">
        <v>17240543</v>
      </c>
      <c r="Q48" s="4">
        <f t="shared" si="3"/>
        <v>48319089</v>
      </c>
      <c r="R48" s="1">
        <v>6730468</v>
      </c>
      <c r="S48" s="1">
        <v>14101980</v>
      </c>
      <c r="T48" s="4">
        <f t="shared" si="4"/>
        <v>20832448</v>
      </c>
      <c r="U48" s="1">
        <v>69151537</v>
      </c>
      <c r="V48" s="1">
        <v>2021</v>
      </c>
      <c r="W48" s="8">
        <v>29358361</v>
      </c>
      <c r="X48" s="1">
        <v>0.17599999999999999</v>
      </c>
      <c r="Y48" s="1">
        <v>0</v>
      </c>
      <c r="Z48" s="1">
        <v>0</v>
      </c>
      <c r="AA48" s="1">
        <v>182500000</v>
      </c>
      <c r="AB48" s="1">
        <v>4.9028673972602743E-2</v>
      </c>
      <c r="AC48" s="1">
        <v>3.543389589041096E-2</v>
      </c>
      <c r="AD48" s="1">
        <v>7.9429320547945201E-2</v>
      </c>
      <c r="AE48" s="1">
        <v>3.4792054794520549E-2</v>
      </c>
      <c r="AF48" s="2">
        <f t="shared" si="5"/>
        <v>0.11422137534246575</v>
      </c>
      <c r="AG48" s="2">
        <f>AF48+AC48</f>
        <v>0.1496552712328767</v>
      </c>
      <c r="AH48" s="1">
        <v>0.28213177534246575</v>
      </c>
      <c r="AI48" s="2">
        <f t="shared" si="6"/>
        <v>0.19868394520547947</v>
      </c>
      <c r="AJ48" s="1">
        <v>7.0960487671232877E-2</v>
      </c>
      <c r="AK48" s="1">
        <v>9.9332915068493149E-2</v>
      </c>
      <c r="AL48" s="4">
        <f t="shared" si="7"/>
        <v>0.17029340273972604</v>
      </c>
      <c r="AM48" s="1">
        <v>9.4468728767123283E-2</v>
      </c>
      <c r="AN48" s="4">
        <f t="shared" si="8"/>
        <v>0.26476213150684935</v>
      </c>
      <c r="AO48" s="1">
        <v>3.6879276712328768E-2</v>
      </c>
      <c r="AP48" s="1">
        <v>7.7271123287671231E-2</v>
      </c>
      <c r="AQ48" s="4">
        <f t="shared" si="9"/>
        <v>0.1141504</v>
      </c>
      <c r="AR48" s="1">
        <v>0.37891253150684934</v>
      </c>
      <c r="AS48" s="1">
        <v>0.48081572054794519</v>
      </c>
      <c r="AT48" s="1">
        <v>0.14027174794520547</v>
      </c>
      <c r="AU48" s="1">
        <f t="shared" si="10"/>
        <v>0.16086773150684933</v>
      </c>
      <c r="AV48" s="1">
        <v>3</v>
      </c>
      <c r="AW48">
        <v>253</v>
      </c>
      <c r="AX48">
        <v>457</v>
      </c>
      <c r="AY48" s="6">
        <v>32</v>
      </c>
      <c r="AZ48" s="6">
        <v>28</v>
      </c>
      <c r="BA48" s="11">
        <f t="shared" si="11"/>
        <v>14.882352941176471</v>
      </c>
      <c r="BB48">
        <f t="shared" si="12"/>
        <v>26.882352941176471</v>
      </c>
      <c r="BC48">
        <f t="shared" si="13"/>
        <v>-204</v>
      </c>
      <c r="BD48">
        <f t="shared" si="14"/>
        <v>-12</v>
      </c>
      <c r="BE48" s="10">
        <v>2.4861927173438199</v>
      </c>
      <c r="BF48" s="6">
        <v>25.56522</v>
      </c>
      <c r="BG48" s="6">
        <v>26.491720000000001</v>
      </c>
      <c r="BH48" s="6">
        <v>0.60251299999999997</v>
      </c>
      <c r="BI48" s="6">
        <v>0.44927499999999998</v>
      </c>
      <c r="BJ48" s="6"/>
      <c r="BK48" s="6" t="s">
        <v>73</v>
      </c>
      <c r="BL48" s="6" t="s">
        <v>68</v>
      </c>
      <c r="BM48" s="6" t="s">
        <v>99</v>
      </c>
      <c r="BN48" s="6" t="s">
        <v>93</v>
      </c>
    </row>
    <row r="49" spans="1:66">
      <c r="A49" s="1" t="s">
        <v>158</v>
      </c>
      <c r="B49" s="1">
        <v>2021</v>
      </c>
      <c r="C49" s="1" t="s">
        <v>110</v>
      </c>
      <c r="D49" s="1">
        <v>9351714</v>
      </c>
      <c r="E49" s="1">
        <v>5433901</v>
      </c>
      <c r="F49" s="1">
        <v>22867909</v>
      </c>
      <c r="G49" s="1">
        <v>9570894</v>
      </c>
      <c r="H49" s="2">
        <f t="shared" si="0"/>
        <v>32438803</v>
      </c>
      <c r="I49" s="2">
        <f>H49+E49</f>
        <v>37872704</v>
      </c>
      <c r="J49" s="1">
        <v>18617755</v>
      </c>
      <c r="K49" s="2">
        <f t="shared" si="1"/>
        <v>47224418</v>
      </c>
      <c r="L49" s="1">
        <v>65842173</v>
      </c>
      <c r="M49" s="1">
        <v>18486165</v>
      </c>
      <c r="N49" s="1">
        <v>29594317</v>
      </c>
      <c r="O49" s="4">
        <f t="shared" si="2"/>
        <v>48080482</v>
      </c>
      <c r="P49" s="1">
        <v>15978427</v>
      </c>
      <c r="Q49" s="4">
        <f t="shared" si="3"/>
        <v>64058909</v>
      </c>
      <c r="R49" s="1">
        <v>23604868</v>
      </c>
      <c r="S49" s="1">
        <v>9058130</v>
      </c>
      <c r="T49" s="4">
        <f t="shared" si="4"/>
        <v>32662998</v>
      </c>
      <c r="U49" s="1">
        <v>96721907</v>
      </c>
      <c r="V49" s="1">
        <v>2021</v>
      </c>
      <c r="W49" s="8">
        <v>6035101</v>
      </c>
      <c r="X49" s="1">
        <v>0.70599999999999996</v>
      </c>
      <c r="Y49" s="1">
        <v>1</v>
      </c>
      <c r="Z49" s="1">
        <v>0</v>
      </c>
      <c r="AA49" s="1">
        <v>182500000</v>
      </c>
      <c r="AB49" s="1">
        <v>5.1242268493150687E-2</v>
      </c>
      <c r="AC49" s="1">
        <v>2.9774800000000001E-2</v>
      </c>
      <c r="AD49" s="1">
        <v>0.1253036109589041</v>
      </c>
      <c r="AE49" s="1">
        <v>5.2443254794520548E-2</v>
      </c>
      <c r="AF49" s="2">
        <f t="shared" si="5"/>
        <v>0.17774686575342466</v>
      </c>
      <c r="AG49" s="2">
        <f>AF49+AC49</f>
        <v>0.20752166575342465</v>
      </c>
      <c r="AH49" s="1">
        <v>0.10201509589041095</v>
      </c>
      <c r="AI49" s="2">
        <f t="shared" si="6"/>
        <v>0.25876393424657534</v>
      </c>
      <c r="AJ49" s="1">
        <v>0.10129405479452054</v>
      </c>
      <c r="AK49" s="1">
        <v>0.1621606410958904</v>
      </c>
      <c r="AL49" s="4">
        <f t="shared" si="7"/>
        <v>0.26345469589041093</v>
      </c>
      <c r="AM49" s="1">
        <v>8.7553024657534242E-2</v>
      </c>
      <c r="AN49" s="4">
        <f t="shared" si="8"/>
        <v>0.35100772054794516</v>
      </c>
      <c r="AO49" s="1">
        <v>0.12934174246575342</v>
      </c>
      <c r="AP49" s="1">
        <v>4.9633589041095889E-2</v>
      </c>
      <c r="AQ49" s="4">
        <f t="shared" si="9"/>
        <v>0.1789753315068493</v>
      </c>
      <c r="AR49" s="1">
        <v>0.52998305205479457</v>
      </c>
      <c r="AS49" s="1">
        <v>0.36077903013698631</v>
      </c>
      <c r="AT49" s="1">
        <v>0.10923791780821912</v>
      </c>
      <c r="AU49" s="1">
        <f t="shared" si="10"/>
        <v>3.3069046575342466E-2</v>
      </c>
      <c r="AV49" s="1">
        <v>12</v>
      </c>
      <c r="AW49">
        <v>480</v>
      </c>
      <c r="AX49">
        <v>364</v>
      </c>
      <c r="AY49" s="6">
        <v>4</v>
      </c>
      <c r="AZ49" s="6">
        <v>8</v>
      </c>
      <c r="BA49" s="11">
        <f t="shared" si="11"/>
        <v>28.235294117647058</v>
      </c>
      <c r="BB49">
        <f t="shared" si="12"/>
        <v>21.411764705882351</v>
      </c>
      <c r="BC49">
        <f t="shared" si="13"/>
        <v>116</v>
      </c>
      <c r="BD49">
        <f t="shared" si="14"/>
        <v>6.8235294117647056</v>
      </c>
      <c r="BE49" s="10">
        <v>11.233341396125001</v>
      </c>
      <c r="BF49" s="6">
        <v>26.43103</v>
      </c>
      <c r="BG49" s="6">
        <v>27.609929999999999</v>
      </c>
      <c r="BH49" s="6">
        <v>0.61548899999999995</v>
      </c>
      <c r="BI49" s="6">
        <v>0.56896599999999997</v>
      </c>
      <c r="BJ49" s="6"/>
      <c r="BK49" s="6" t="s">
        <v>73</v>
      </c>
      <c r="BL49" s="6" t="s">
        <v>68</v>
      </c>
      <c r="BM49" s="6" t="s">
        <v>99</v>
      </c>
      <c r="BN49" s="6" t="s">
        <v>93</v>
      </c>
    </row>
    <row r="50" spans="1:66">
      <c r="A50" s="1" t="s">
        <v>159</v>
      </c>
      <c r="B50" s="1">
        <v>2021</v>
      </c>
      <c r="C50" s="1" t="s">
        <v>112</v>
      </c>
      <c r="D50" s="1">
        <v>25765000</v>
      </c>
      <c r="E50" s="1">
        <v>10563364</v>
      </c>
      <c r="F50" s="1">
        <v>5819855</v>
      </c>
      <c r="G50" s="1">
        <v>8743209</v>
      </c>
      <c r="H50" s="2">
        <f t="shared" si="0"/>
        <v>14563064</v>
      </c>
      <c r="I50" s="2">
        <f>H50+E50</f>
        <v>25126428</v>
      </c>
      <c r="J50" s="1">
        <v>32231713</v>
      </c>
      <c r="K50" s="2">
        <f t="shared" si="1"/>
        <v>50891428</v>
      </c>
      <c r="L50" s="1">
        <v>83123141</v>
      </c>
      <c r="M50" s="1">
        <v>11778821</v>
      </c>
      <c r="N50" s="1">
        <v>18564836</v>
      </c>
      <c r="O50" s="4">
        <f t="shared" si="2"/>
        <v>30343657</v>
      </c>
      <c r="P50" s="1">
        <v>19055704</v>
      </c>
      <c r="Q50" s="4">
        <f t="shared" si="3"/>
        <v>49399361</v>
      </c>
      <c r="R50" s="1">
        <v>6248290</v>
      </c>
      <c r="S50" s="1">
        <v>9303864</v>
      </c>
      <c r="T50" s="4">
        <f t="shared" si="4"/>
        <v>15552154</v>
      </c>
      <c r="U50" s="1">
        <v>64951515</v>
      </c>
      <c r="V50" s="1">
        <v>2021</v>
      </c>
      <c r="W50" s="8">
        <v>22935487</v>
      </c>
      <c r="X50" s="1">
        <v>0.58799999999999997</v>
      </c>
      <c r="Y50" s="1">
        <v>1</v>
      </c>
      <c r="Z50" s="1">
        <v>0</v>
      </c>
      <c r="AA50" s="1">
        <v>182500000</v>
      </c>
      <c r="AB50" s="1">
        <v>0.14117808219178082</v>
      </c>
      <c r="AC50" s="1">
        <v>5.7881446575342464E-2</v>
      </c>
      <c r="AD50" s="1">
        <v>3.1889616438356166E-2</v>
      </c>
      <c r="AE50" s="1">
        <v>4.7907994520547947E-2</v>
      </c>
      <c r="AF50" s="2">
        <f t="shared" si="5"/>
        <v>7.9797610958904114E-2</v>
      </c>
      <c r="AG50" s="2">
        <f>AF50+AC50</f>
        <v>0.13767905753424658</v>
      </c>
      <c r="AH50" s="1">
        <v>0.17661212602739726</v>
      </c>
      <c r="AI50" s="2">
        <f t="shared" si="6"/>
        <v>0.27885713972602744</v>
      </c>
      <c r="AJ50" s="1">
        <v>6.4541484931506854E-2</v>
      </c>
      <c r="AK50" s="1">
        <v>0.10172512876712329</v>
      </c>
      <c r="AL50" s="4">
        <f t="shared" si="7"/>
        <v>0.16626661369863016</v>
      </c>
      <c r="AM50" s="1">
        <v>0.10441481643835616</v>
      </c>
      <c r="AN50" s="4">
        <f t="shared" si="8"/>
        <v>0.27068143013698631</v>
      </c>
      <c r="AO50" s="1">
        <v>3.4237205479452054E-2</v>
      </c>
      <c r="AP50" s="1">
        <v>5.0980076712328765E-2</v>
      </c>
      <c r="AQ50" s="4">
        <f t="shared" si="9"/>
        <v>8.5217282191780819E-2</v>
      </c>
      <c r="AR50" s="1">
        <v>0.35589871232876713</v>
      </c>
      <c r="AS50" s="1">
        <v>0.45546926575342467</v>
      </c>
      <c r="AT50" s="1">
        <v>0.18863202191780815</v>
      </c>
      <c r="AU50" s="1">
        <f t="shared" si="10"/>
        <v>0.12567390136986301</v>
      </c>
      <c r="AV50" s="1">
        <v>10</v>
      </c>
      <c r="AW50">
        <v>374</v>
      </c>
      <c r="AX50">
        <v>439</v>
      </c>
      <c r="AY50" s="6">
        <v>18</v>
      </c>
      <c r="AZ50" s="6">
        <v>26</v>
      </c>
      <c r="BA50" s="11">
        <f t="shared" si="11"/>
        <v>22</v>
      </c>
      <c r="BB50">
        <f t="shared" si="12"/>
        <v>25.823529411764707</v>
      </c>
      <c r="BC50">
        <f t="shared" si="13"/>
        <v>-65</v>
      </c>
      <c r="BD50">
        <f t="shared" si="14"/>
        <v>-3.8235294117647061</v>
      </c>
      <c r="BE50" s="10">
        <v>6.2857354245325503</v>
      </c>
      <c r="BF50" s="6">
        <v>26.703130000000002</v>
      </c>
      <c r="BG50" s="6">
        <v>27.18816</v>
      </c>
      <c r="BH50" s="6">
        <v>0.53429099999999996</v>
      </c>
      <c r="BI50" s="6">
        <v>0.484375</v>
      </c>
      <c r="BJ50" s="6"/>
      <c r="BK50" s="6" t="s">
        <v>73</v>
      </c>
      <c r="BL50" s="6" t="s">
        <v>74</v>
      </c>
      <c r="BM50" s="6" t="s">
        <v>75</v>
      </c>
      <c r="BN50" s="6" t="s">
        <v>75</v>
      </c>
    </row>
    <row r="51" spans="1:66">
      <c r="A51" s="1" t="s">
        <v>160</v>
      </c>
      <c r="B51" s="1">
        <v>2021</v>
      </c>
      <c r="C51" s="1" t="s">
        <v>114</v>
      </c>
      <c r="D51" s="1">
        <v>8035281</v>
      </c>
      <c r="E51" s="1">
        <v>8542094</v>
      </c>
      <c r="F51" s="1">
        <v>34801898</v>
      </c>
      <c r="G51" s="1">
        <v>7986554</v>
      </c>
      <c r="H51" s="2">
        <f t="shared" si="0"/>
        <v>42788452</v>
      </c>
      <c r="I51" s="2">
        <f>H51+E51</f>
        <v>51330546</v>
      </c>
      <c r="J51" s="1">
        <v>32588937</v>
      </c>
      <c r="K51" s="2">
        <f t="shared" si="1"/>
        <v>59365827</v>
      </c>
      <c r="L51" s="1">
        <v>91954764</v>
      </c>
      <c r="M51" s="1">
        <v>19659580</v>
      </c>
      <c r="N51" s="1">
        <v>25210644</v>
      </c>
      <c r="O51" s="4">
        <f t="shared" si="2"/>
        <v>44870224</v>
      </c>
      <c r="P51" s="1">
        <v>8301664</v>
      </c>
      <c r="Q51" s="4">
        <f t="shared" si="3"/>
        <v>53171888</v>
      </c>
      <c r="R51" s="1">
        <v>7817229</v>
      </c>
      <c r="S51" s="1">
        <v>22630464</v>
      </c>
      <c r="T51" s="4">
        <f t="shared" si="4"/>
        <v>30447693</v>
      </c>
      <c r="U51" s="1">
        <v>83619581</v>
      </c>
      <c r="V51" s="1">
        <v>2021</v>
      </c>
      <c r="W51" s="8">
        <v>16228955</v>
      </c>
      <c r="X51" s="1">
        <v>0.52900000000000003</v>
      </c>
      <c r="Y51" s="1">
        <v>0</v>
      </c>
      <c r="Z51" s="1">
        <v>0</v>
      </c>
      <c r="AA51" s="1">
        <v>182500000</v>
      </c>
      <c r="AB51" s="1">
        <v>4.4028936986301372E-2</v>
      </c>
      <c r="AC51" s="1">
        <v>4.6805994520547949E-2</v>
      </c>
      <c r="AD51" s="1">
        <v>0.19069533150684931</v>
      </c>
      <c r="AE51" s="1">
        <v>4.3761939726027398E-2</v>
      </c>
      <c r="AF51" s="2">
        <f t="shared" si="5"/>
        <v>0.23445727123287671</v>
      </c>
      <c r="AG51" s="2">
        <f>AF51+AC51</f>
        <v>0.28126326575342464</v>
      </c>
      <c r="AH51" s="1">
        <v>0.17856951780821917</v>
      </c>
      <c r="AI51" s="2">
        <f t="shared" si="6"/>
        <v>0.32529220273972603</v>
      </c>
      <c r="AJ51" s="1">
        <v>0.10772372602739726</v>
      </c>
      <c r="AK51" s="1">
        <v>0.13814051506849315</v>
      </c>
      <c r="AL51" s="4">
        <f t="shared" si="7"/>
        <v>0.24586424109589039</v>
      </c>
      <c r="AM51" s="1">
        <v>4.5488569863013702E-2</v>
      </c>
      <c r="AN51" s="4">
        <f t="shared" si="8"/>
        <v>0.29135281095890408</v>
      </c>
      <c r="AO51" s="1">
        <v>4.2834131506849317E-2</v>
      </c>
      <c r="AP51" s="1">
        <v>0.12400254246575343</v>
      </c>
      <c r="AQ51" s="4">
        <f t="shared" si="9"/>
        <v>0.16683667397260274</v>
      </c>
      <c r="AR51" s="1">
        <v>0.45818948493150685</v>
      </c>
      <c r="AS51" s="1">
        <v>0.5038617205479452</v>
      </c>
      <c r="AT51" s="1">
        <v>3.794879452054789E-2</v>
      </c>
      <c r="AU51" s="1">
        <f t="shared" si="10"/>
        <v>8.8925780821917808E-2</v>
      </c>
      <c r="AV51" s="1">
        <v>9</v>
      </c>
      <c r="AW51">
        <v>474</v>
      </c>
      <c r="AX51">
        <v>459</v>
      </c>
      <c r="AY51" s="6">
        <v>5</v>
      </c>
      <c r="AZ51" s="6">
        <v>29</v>
      </c>
      <c r="BA51" s="11">
        <f t="shared" si="11"/>
        <v>27.882352941176471</v>
      </c>
      <c r="BB51">
        <f t="shared" si="12"/>
        <v>27</v>
      </c>
      <c r="BC51">
        <f t="shared" si="13"/>
        <v>15</v>
      </c>
      <c r="BD51">
        <f t="shared" si="14"/>
        <v>0.88235294117647056</v>
      </c>
      <c r="BE51" s="10">
        <v>8.4725225942278293</v>
      </c>
      <c r="BF51" s="6">
        <v>26.466670000000001</v>
      </c>
      <c r="BG51" s="6">
        <v>27.85399</v>
      </c>
      <c r="BH51" s="6">
        <v>0.60448900000000005</v>
      </c>
      <c r="BI51" s="6">
        <v>0.53333299999999995</v>
      </c>
      <c r="BJ51" s="6"/>
      <c r="BK51" s="6" t="s">
        <v>80</v>
      </c>
      <c r="BL51" s="6" t="s">
        <v>68</v>
      </c>
      <c r="BM51" s="6" t="s">
        <v>92</v>
      </c>
      <c r="BN51" s="6" t="s">
        <v>93</v>
      </c>
    </row>
    <row r="52" spans="1:66">
      <c r="A52" s="1" t="s">
        <v>161</v>
      </c>
      <c r="B52" s="1">
        <v>2021</v>
      </c>
      <c r="C52" s="1" t="s">
        <v>116</v>
      </c>
      <c r="D52" s="1">
        <v>21515000</v>
      </c>
      <c r="E52" s="1">
        <v>6524693</v>
      </c>
      <c r="F52" s="1">
        <v>15345744</v>
      </c>
      <c r="G52" s="1">
        <v>8559019</v>
      </c>
      <c r="H52" s="2">
        <f t="shared" si="0"/>
        <v>23904763</v>
      </c>
      <c r="I52" s="2">
        <f>H52+E52</f>
        <v>30429456</v>
      </c>
      <c r="J52" s="1">
        <v>19911195</v>
      </c>
      <c r="K52" s="2">
        <f t="shared" si="1"/>
        <v>51944456</v>
      </c>
      <c r="L52" s="1">
        <v>71855651</v>
      </c>
      <c r="M52" s="1">
        <v>24636263</v>
      </c>
      <c r="N52" s="1">
        <v>10301210</v>
      </c>
      <c r="O52" s="4">
        <f t="shared" si="2"/>
        <v>34937473</v>
      </c>
      <c r="P52" s="1">
        <v>2935466</v>
      </c>
      <c r="Q52" s="4">
        <f t="shared" si="3"/>
        <v>37872939</v>
      </c>
      <c r="R52" s="1">
        <v>4560477</v>
      </c>
      <c r="S52" s="1">
        <v>17562194</v>
      </c>
      <c r="T52" s="4">
        <f t="shared" si="4"/>
        <v>22122671</v>
      </c>
      <c r="U52" s="1">
        <v>59995610</v>
      </c>
      <c r="V52" s="1">
        <v>2021</v>
      </c>
      <c r="W52" s="8">
        <v>11982361</v>
      </c>
      <c r="X52" s="1">
        <v>0.70599999999999996</v>
      </c>
      <c r="Y52" s="1">
        <v>1</v>
      </c>
      <c r="Z52" s="1">
        <v>1</v>
      </c>
      <c r="AA52" s="1">
        <v>182500000</v>
      </c>
      <c r="AB52" s="1">
        <v>0.11789041095890411</v>
      </c>
      <c r="AC52" s="1">
        <v>3.5751742465753425E-2</v>
      </c>
      <c r="AD52" s="1">
        <v>8.4086268493150679E-2</v>
      </c>
      <c r="AE52" s="1">
        <v>4.6898734246575341E-2</v>
      </c>
      <c r="AF52" s="2">
        <f t="shared" si="5"/>
        <v>0.13098500273972602</v>
      </c>
      <c r="AG52" s="2">
        <f>AF52+AC52</f>
        <v>0.16673674520547943</v>
      </c>
      <c r="AH52" s="1">
        <v>0.10910243835616439</v>
      </c>
      <c r="AI52" s="2">
        <f t="shared" si="6"/>
        <v>0.28462715616438355</v>
      </c>
      <c r="AJ52" s="1">
        <v>0.13499322191780821</v>
      </c>
      <c r="AK52" s="1">
        <v>5.6444986301369862E-2</v>
      </c>
      <c r="AL52" s="4">
        <f t="shared" si="7"/>
        <v>0.19143820821917806</v>
      </c>
      <c r="AM52" s="1">
        <v>1.608474520547945E-2</v>
      </c>
      <c r="AN52" s="4">
        <f t="shared" si="8"/>
        <v>0.20752295342465751</v>
      </c>
      <c r="AO52" s="1">
        <v>2.4988915068493149E-2</v>
      </c>
      <c r="AP52" s="1">
        <v>9.6231200000000003E-2</v>
      </c>
      <c r="AQ52" s="4">
        <f t="shared" si="9"/>
        <v>0.12122011506849314</v>
      </c>
      <c r="AR52" s="1">
        <v>0.32874306849315066</v>
      </c>
      <c r="AS52" s="1">
        <v>0.39372959452054795</v>
      </c>
      <c r="AT52" s="1">
        <v>0.27752733698630139</v>
      </c>
      <c r="AU52" s="1">
        <f t="shared" si="10"/>
        <v>6.5656772602739721E-2</v>
      </c>
      <c r="AV52" s="1">
        <v>12</v>
      </c>
      <c r="AW52">
        <v>460</v>
      </c>
      <c r="AX52">
        <v>372</v>
      </c>
      <c r="AY52" s="6">
        <v>7</v>
      </c>
      <c r="AZ52" s="6">
        <v>15</v>
      </c>
      <c r="BA52" s="11">
        <f t="shared" si="11"/>
        <v>27.058823529411764</v>
      </c>
      <c r="BB52">
        <f t="shared" si="12"/>
        <v>21.882352941176471</v>
      </c>
      <c r="BC52">
        <f t="shared" si="13"/>
        <v>88</v>
      </c>
      <c r="BD52">
        <f t="shared" si="14"/>
        <v>5.1764705882352944</v>
      </c>
      <c r="BE52" s="10">
        <v>10.467965886522499</v>
      </c>
      <c r="BF52" s="6">
        <v>25.698409999999999</v>
      </c>
      <c r="BG52" s="6">
        <v>28.485389999999999</v>
      </c>
      <c r="BH52" s="6">
        <v>0.59185100000000002</v>
      </c>
      <c r="BI52" s="6">
        <v>0.60317500000000002</v>
      </c>
      <c r="BJ52" s="6"/>
      <c r="BK52" s="6" t="s">
        <v>67</v>
      </c>
      <c r="BL52" s="6" t="s">
        <v>74</v>
      </c>
      <c r="BM52" s="6" t="s">
        <v>102</v>
      </c>
      <c r="BN52" s="6" t="s">
        <v>70</v>
      </c>
    </row>
    <row r="53" spans="1:66">
      <c r="A53" s="1" t="s">
        <v>162</v>
      </c>
      <c r="B53" s="1">
        <v>2021</v>
      </c>
      <c r="C53" s="1" t="s">
        <v>118</v>
      </c>
      <c r="D53" s="1">
        <v>11954381</v>
      </c>
      <c r="E53" s="1">
        <v>5920953</v>
      </c>
      <c r="F53" s="1">
        <v>38584072</v>
      </c>
      <c r="G53" s="1">
        <v>10306584</v>
      </c>
      <c r="H53" s="2">
        <f t="shared" si="0"/>
        <v>48890656</v>
      </c>
      <c r="I53" s="2">
        <f>H53+E53</f>
        <v>54811609</v>
      </c>
      <c r="J53" s="1">
        <v>16909929</v>
      </c>
      <c r="K53" s="2">
        <f t="shared" si="1"/>
        <v>66765990</v>
      </c>
      <c r="L53" s="1">
        <v>83675919</v>
      </c>
      <c r="M53" s="1">
        <v>13066824</v>
      </c>
      <c r="N53" s="1">
        <v>11270090</v>
      </c>
      <c r="O53" s="4">
        <f t="shared" si="2"/>
        <v>24336914</v>
      </c>
      <c r="P53" s="1">
        <v>9884867</v>
      </c>
      <c r="Q53" s="4">
        <f t="shared" si="3"/>
        <v>34221781</v>
      </c>
      <c r="R53" s="1">
        <v>12997394</v>
      </c>
      <c r="S53" s="1">
        <v>34411144</v>
      </c>
      <c r="T53" s="4">
        <f t="shared" si="4"/>
        <v>47408538</v>
      </c>
      <c r="U53" s="1">
        <v>81630319</v>
      </c>
      <c r="V53" s="1">
        <v>2021</v>
      </c>
      <c r="W53" s="8">
        <v>20371008</v>
      </c>
      <c r="X53" s="1">
        <v>0.52900000000000003</v>
      </c>
      <c r="Y53" s="1">
        <v>0</v>
      </c>
      <c r="Z53" s="1">
        <v>0</v>
      </c>
      <c r="AA53" s="1">
        <v>182500000</v>
      </c>
      <c r="AB53" s="1">
        <v>6.5503457534246579E-2</v>
      </c>
      <c r="AC53" s="1">
        <v>3.2443578082191782E-2</v>
      </c>
      <c r="AD53" s="1">
        <v>0.21141957260273972</v>
      </c>
      <c r="AE53" s="1">
        <v>5.6474432876712326E-2</v>
      </c>
      <c r="AF53" s="2">
        <f t="shared" si="5"/>
        <v>0.26789400547945202</v>
      </c>
      <c r="AG53" s="2">
        <f>AF53+AC53</f>
        <v>0.30033758356164381</v>
      </c>
      <c r="AH53" s="1">
        <v>9.2657145205479449E-2</v>
      </c>
      <c r="AI53" s="2">
        <f t="shared" si="6"/>
        <v>0.36584104109589038</v>
      </c>
      <c r="AJ53" s="1">
        <v>7.159903561643835E-2</v>
      </c>
      <c r="AK53" s="1">
        <v>6.1753917808219178E-2</v>
      </c>
      <c r="AL53" s="4">
        <f t="shared" si="7"/>
        <v>0.13335295342465753</v>
      </c>
      <c r="AM53" s="1">
        <v>5.4163654794520545E-2</v>
      </c>
      <c r="AN53" s="4">
        <f t="shared" si="8"/>
        <v>0.18751660821917807</v>
      </c>
      <c r="AO53" s="1">
        <v>7.1218597260273978E-2</v>
      </c>
      <c r="AP53" s="1">
        <v>0.18855421369863012</v>
      </c>
      <c r="AQ53" s="4">
        <f t="shared" si="9"/>
        <v>0.25977281095890409</v>
      </c>
      <c r="AR53" s="1">
        <v>0.44728941917808218</v>
      </c>
      <c r="AS53" s="1">
        <v>0.45849818630136985</v>
      </c>
      <c r="AT53" s="1">
        <v>9.4212394520547971E-2</v>
      </c>
      <c r="AU53" s="1">
        <f t="shared" si="10"/>
        <v>0.11162196164383562</v>
      </c>
      <c r="AV53" s="1">
        <v>9</v>
      </c>
      <c r="AW53">
        <v>341</v>
      </c>
      <c r="AX53">
        <v>373</v>
      </c>
      <c r="AY53" s="6">
        <v>22</v>
      </c>
      <c r="AZ53" s="6">
        <v>16</v>
      </c>
      <c r="BA53" s="11">
        <f t="shared" si="11"/>
        <v>20.058823529411764</v>
      </c>
      <c r="BB53">
        <f t="shared" si="12"/>
        <v>21.941176470588236</v>
      </c>
      <c r="BC53">
        <f t="shared" si="13"/>
        <v>-32</v>
      </c>
      <c r="BD53">
        <f t="shared" si="14"/>
        <v>-1.8823529411764706</v>
      </c>
      <c r="BE53" s="10">
        <v>7.1877851322119204</v>
      </c>
      <c r="BF53" s="6">
        <v>26.089549999999999</v>
      </c>
      <c r="BG53" s="6">
        <v>26.804919999999999</v>
      </c>
      <c r="BH53" s="6">
        <v>0.54784699999999997</v>
      </c>
      <c r="BI53" s="6">
        <v>0.55223900000000004</v>
      </c>
      <c r="BJ53" s="6"/>
      <c r="BK53" s="6" t="s">
        <v>73</v>
      </c>
      <c r="BL53" s="6" t="s">
        <v>74</v>
      </c>
      <c r="BM53" s="6" t="s">
        <v>75</v>
      </c>
      <c r="BN53" s="6" t="s">
        <v>75</v>
      </c>
    </row>
    <row r="54" spans="1:66">
      <c r="A54" s="1" t="s">
        <v>163</v>
      </c>
      <c r="B54" s="1">
        <v>2021</v>
      </c>
      <c r="C54" s="1" t="s">
        <v>120</v>
      </c>
      <c r="D54" s="1">
        <v>33286933</v>
      </c>
      <c r="E54" s="1">
        <v>7166003</v>
      </c>
      <c r="F54" s="1">
        <v>14628459</v>
      </c>
      <c r="G54" s="1">
        <v>4765830</v>
      </c>
      <c r="H54" s="2">
        <f t="shared" si="0"/>
        <v>19394289</v>
      </c>
      <c r="I54" s="2">
        <f>H54+E54</f>
        <v>26560292</v>
      </c>
      <c r="J54" s="1">
        <v>18976157</v>
      </c>
      <c r="K54" s="2">
        <f t="shared" si="1"/>
        <v>59847225</v>
      </c>
      <c r="L54" s="1">
        <v>78823382</v>
      </c>
      <c r="M54" s="1">
        <v>15957772</v>
      </c>
      <c r="N54" s="1">
        <v>17192697</v>
      </c>
      <c r="O54" s="4">
        <f t="shared" si="2"/>
        <v>33150469</v>
      </c>
      <c r="P54" s="1">
        <v>23783390</v>
      </c>
      <c r="Q54" s="4">
        <f t="shared" si="3"/>
        <v>56933859</v>
      </c>
      <c r="R54" s="1">
        <v>10655965</v>
      </c>
      <c r="S54" s="1">
        <v>12555136</v>
      </c>
      <c r="T54" s="4">
        <f t="shared" si="4"/>
        <v>23211101</v>
      </c>
      <c r="U54" s="1">
        <v>80144960</v>
      </c>
      <c r="V54" s="1">
        <v>2021</v>
      </c>
      <c r="W54" s="8">
        <v>44293641</v>
      </c>
      <c r="X54" s="1">
        <v>0.47099999999999997</v>
      </c>
      <c r="Y54" s="1">
        <v>0</v>
      </c>
      <c r="Z54" s="1">
        <v>0</v>
      </c>
      <c r="AA54" s="1">
        <v>182500000</v>
      </c>
      <c r="AB54" s="1">
        <v>0.18239415342465753</v>
      </c>
      <c r="AC54" s="1">
        <v>3.9265769863013701E-2</v>
      </c>
      <c r="AD54" s="1">
        <v>8.01559397260274E-2</v>
      </c>
      <c r="AE54" s="1">
        <v>2.611413698630137E-2</v>
      </c>
      <c r="AF54" s="2">
        <f t="shared" si="5"/>
        <v>0.10627007671232877</v>
      </c>
      <c r="AG54" s="2">
        <f>AF54+AC54</f>
        <v>0.14553584657534246</v>
      </c>
      <c r="AH54" s="1">
        <v>0.10397894246575343</v>
      </c>
      <c r="AI54" s="2">
        <f t="shared" si="6"/>
        <v>0.32793</v>
      </c>
      <c r="AJ54" s="1">
        <v>8.743984657534247E-2</v>
      </c>
      <c r="AK54" s="1">
        <v>9.4206558904109589E-2</v>
      </c>
      <c r="AL54" s="4">
        <f t="shared" si="7"/>
        <v>0.18164640547945204</v>
      </c>
      <c r="AM54" s="1">
        <v>0.13031994520547946</v>
      </c>
      <c r="AN54" s="4">
        <f t="shared" si="8"/>
        <v>0.3119663506849315</v>
      </c>
      <c r="AO54" s="1">
        <v>5.8388849315068492E-2</v>
      </c>
      <c r="AP54" s="1">
        <v>6.8795265753424664E-2</v>
      </c>
      <c r="AQ54" s="4">
        <f t="shared" si="9"/>
        <v>0.12718411506849314</v>
      </c>
      <c r="AR54" s="1">
        <v>0.43915046575342465</v>
      </c>
      <c r="AS54" s="1">
        <v>0.4319089424657534</v>
      </c>
      <c r="AT54" s="1">
        <v>0.12894059178082196</v>
      </c>
      <c r="AU54" s="1">
        <f t="shared" si="10"/>
        <v>0.24270488219178082</v>
      </c>
      <c r="AV54" s="1">
        <v>8</v>
      </c>
      <c r="AW54">
        <v>425</v>
      </c>
      <c r="AX54">
        <v>426</v>
      </c>
      <c r="AY54" s="6">
        <v>14</v>
      </c>
      <c r="AZ54" s="6">
        <v>24</v>
      </c>
      <c r="BA54" s="11">
        <f t="shared" si="11"/>
        <v>25</v>
      </c>
      <c r="BB54">
        <f t="shared" si="12"/>
        <v>25.058823529411764</v>
      </c>
      <c r="BC54">
        <f t="shared" si="13"/>
        <v>-1</v>
      </c>
      <c r="BD54">
        <f t="shared" si="14"/>
        <v>-5.8823529411764705E-2</v>
      </c>
      <c r="BE54" s="10">
        <v>8.0351651605675904</v>
      </c>
      <c r="BF54" s="6">
        <v>25.820900000000002</v>
      </c>
      <c r="BG54" s="6">
        <v>28.369240000000001</v>
      </c>
      <c r="BH54" s="6">
        <v>0.64911399999999997</v>
      </c>
      <c r="BI54" s="6">
        <v>0.507463</v>
      </c>
      <c r="BJ54" s="6"/>
      <c r="BK54" s="6" t="s">
        <v>80</v>
      </c>
      <c r="BL54" s="6" t="s">
        <v>96</v>
      </c>
      <c r="BM54" s="6" t="s">
        <v>164</v>
      </c>
      <c r="BN54" s="6" t="s">
        <v>70</v>
      </c>
    </row>
    <row r="55" spans="1:66">
      <c r="A55" s="1" t="s">
        <v>165</v>
      </c>
      <c r="B55" s="1">
        <v>2021</v>
      </c>
      <c r="C55" s="1" t="s">
        <v>122</v>
      </c>
      <c r="D55" s="1">
        <v>4645686</v>
      </c>
      <c r="E55" s="1">
        <v>5995321</v>
      </c>
      <c r="F55" s="1">
        <v>17865475</v>
      </c>
      <c r="G55" s="1">
        <v>15278024</v>
      </c>
      <c r="H55" s="2">
        <f t="shared" si="0"/>
        <v>33143499</v>
      </c>
      <c r="I55" s="2">
        <f>H55+E55</f>
        <v>39138820</v>
      </c>
      <c r="J55" s="1">
        <v>29626483</v>
      </c>
      <c r="K55" s="2">
        <f t="shared" si="1"/>
        <v>43784506</v>
      </c>
      <c r="L55" s="1">
        <v>73410989</v>
      </c>
      <c r="M55" s="1">
        <v>9620537</v>
      </c>
      <c r="N55" s="1">
        <v>17559662</v>
      </c>
      <c r="O55" s="4">
        <f t="shared" si="2"/>
        <v>27180199</v>
      </c>
      <c r="P55" s="1">
        <v>22789047</v>
      </c>
      <c r="Q55" s="4">
        <f t="shared" si="3"/>
        <v>49969246</v>
      </c>
      <c r="R55" s="1">
        <v>20807958</v>
      </c>
      <c r="S55" s="1">
        <v>20534652</v>
      </c>
      <c r="T55" s="4">
        <f t="shared" si="4"/>
        <v>41342610</v>
      </c>
      <c r="U55" s="1">
        <v>91311856</v>
      </c>
      <c r="V55" s="1">
        <v>2021</v>
      </c>
      <c r="W55" s="8">
        <v>18877570</v>
      </c>
      <c r="X55" s="1">
        <v>0.58799999999999997</v>
      </c>
      <c r="Y55" s="1">
        <v>1</v>
      </c>
      <c r="Z55" s="1">
        <v>0</v>
      </c>
      <c r="AA55" s="1">
        <v>182500000</v>
      </c>
      <c r="AB55" s="1">
        <v>2.5455813698630137E-2</v>
      </c>
      <c r="AC55" s="1">
        <v>3.2851073972602743E-2</v>
      </c>
      <c r="AD55" s="1">
        <v>9.7893013698630141E-2</v>
      </c>
      <c r="AE55" s="1">
        <v>8.3715200000000003E-2</v>
      </c>
      <c r="AF55" s="2">
        <f t="shared" si="5"/>
        <v>0.18160821369863014</v>
      </c>
      <c r="AG55" s="2">
        <f>AF55+AC55</f>
        <v>0.2144592876712329</v>
      </c>
      <c r="AH55" s="1">
        <v>0.16233689315068492</v>
      </c>
      <c r="AI55" s="2">
        <f t="shared" si="6"/>
        <v>0.23991510136986299</v>
      </c>
      <c r="AJ55" s="1">
        <v>5.2715271232876712E-2</v>
      </c>
      <c r="AK55" s="1">
        <v>9.6217326027397257E-2</v>
      </c>
      <c r="AL55" s="4">
        <f t="shared" si="7"/>
        <v>0.14893259726027397</v>
      </c>
      <c r="AM55" s="1">
        <v>0.12487149041095891</v>
      </c>
      <c r="AN55" s="4">
        <f t="shared" si="8"/>
        <v>0.27380408767123288</v>
      </c>
      <c r="AO55" s="1">
        <v>0.11401620821917809</v>
      </c>
      <c r="AP55" s="1">
        <v>0.11251864109589041</v>
      </c>
      <c r="AQ55" s="4">
        <f t="shared" si="9"/>
        <v>0.22653484931506851</v>
      </c>
      <c r="AR55" s="1">
        <v>0.50033893698630139</v>
      </c>
      <c r="AS55" s="1">
        <v>0.40225199452054794</v>
      </c>
      <c r="AT55" s="1">
        <v>9.7409068493150675E-2</v>
      </c>
      <c r="AU55" s="1">
        <f t="shared" si="10"/>
        <v>0.10343873972602739</v>
      </c>
      <c r="AV55" s="1">
        <v>10</v>
      </c>
      <c r="AW55">
        <v>462</v>
      </c>
      <c r="AX55">
        <v>303</v>
      </c>
      <c r="AY55" s="6">
        <v>6</v>
      </c>
      <c r="AZ55" s="6">
        <v>2</v>
      </c>
      <c r="BA55" s="11">
        <f t="shared" si="11"/>
        <v>27.176470588235293</v>
      </c>
      <c r="BB55">
        <f t="shared" si="12"/>
        <v>17.823529411764707</v>
      </c>
      <c r="BC55">
        <f t="shared" si="13"/>
        <v>159</v>
      </c>
      <c r="BD55">
        <f t="shared" si="14"/>
        <v>9.3529411764705888</v>
      </c>
      <c r="BE55" s="10">
        <v>12.4087394994935</v>
      </c>
      <c r="BF55" s="6">
        <v>26.81429</v>
      </c>
      <c r="BG55" s="6">
        <v>28.09028</v>
      </c>
      <c r="BH55" s="6">
        <v>0.53376199999999996</v>
      </c>
      <c r="BI55" s="6">
        <v>0.52857100000000001</v>
      </c>
      <c r="BJ55" s="6"/>
      <c r="BK55" s="6" t="s">
        <v>80</v>
      </c>
      <c r="BL55" s="6" t="s">
        <v>74</v>
      </c>
      <c r="BM55" s="6" t="s">
        <v>81</v>
      </c>
      <c r="BN55" s="6" t="s">
        <v>75</v>
      </c>
    </row>
    <row r="56" spans="1:66">
      <c r="A56" s="1" t="s">
        <v>166</v>
      </c>
      <c r="B56" s="1">
        <v>2021</v>
      </c>
      <c r="C56" s="1" t="s">
        <v>124</v>
      </c>
      <c r="D56" s="1">
        <v>4266117</v>
      </c>
      <c r="E56" s="1">
        <v>8210277</v>
      </c>
      <c r="F56" s="1">
        <v>14666168</v>
      </c>
      <c r="G56" s="1">
        <v>11853791</v>
      </c>
      <c r="H56" s="2">
        <f t="shared" si="0"/>
        <v>26519959</v>
      </c>
      <c r="I56" s="2">
        <f>H56+E56</f>
        <v>34730236</v>
      </c>
      <c r="J56" s="1">
        <v>29430260</v>
      </c>
      <c r="K56" s="2">
        <f t="shared" si="1"/>
        <v>38996353</v>
      </c>
      <c r="L56" s="1">
        <v>68426613</v>
      </c>
      <c r="M56" s="1">
        <v>8119313</v>
      </c>
      <c r="N56" s="1">
        <v>16877510</v>
      </c>
      <c r="O56" s="4">
        <f t="shared" si="2"/>
        <v>24996823</v>
      </c>
      <c r="P56" s="1">
        <v>11701382</v>
      </c>
      <c r="Q56" s="4">
        <f t="shared" si="3"/>
        <v>36698205</v>
      </c>
      <c r="R56" s="1">
        <v>19014778</v>
      </c>
      <c r="S56" s="1">
        <v>8281114</v>
      </c>
      <c r="T56" s="4">
        <f t="shared" si="4"/>
        <v>27295892</v>
      </c>
      <c r="U56" s="1">
        <v>63994097</v>
      </c>
      <c r="V56" s="1">
        <v>2021</v>
      </c>
      <c r="W56" s="8">
        <v>28080568</v>
      </c>
      <c r="X56" s="1">
        <v>0.52900000000000003</v>
      </c>
      <c r="Y56" s="1">
        <v>0</v>
      </c>
      <c r="Z56" s="1">
        <v>0</v>
      </c>
      <c r="AA56" s="1">
        <v>182500000</v>
      </c>
      <c r="AB56" s="1">
        <v>2.3375983561643835E-2</v>
      </c>
      <c r="AC56" s="1">
        <v>4.4987819178082193E-2</v>
      </c>
      <c r="AD56" s="1">
        <v>8.0362564383561638E-2</v>
      </c>
      <c r="AE56" s="1">
        <v>6.4952279452054798E-2</v>
      </c>
      <c r="AF56" s="2">
        <f t="shared" si="5"/>
        <v>0.14531484383561644</v>
      </c>
      <c r="AG56" s="2">
        <f>AF56+AC56</f>
        <v>0.19030266301369864</v>
      </c>
      <c r="AH56" s="1">
        <v>0.16126169863013698</v>
      </c>
      <c r="AI56" s="2">
        <f t="shared" si="6"/>
        <v>0.21367864657534247</v>
      </c>
      <c r="AJ56" s="1">
        <v>4.4489386301369865E-2</v>
      </c>
      <c r="AK56" s="1">
        <v>9.2479506849315066E-2</v>
      </c>
      <c r="AL56" s="4">
        <f t="shared" si="7"/>
        <v>0.13696889315068494</v>
      </c>
      <c r="AM56" s="1">
        <v>6.4117161643835616E-2</v>
      </c>
      <c r="AN56" s="4">
        <f t="shared" si="8"/>
        <v>0.20108605479452057</v>
      </c>
      <c r="AO56" s="1">
        <v>0.10419056438356164</v>
      </c>
      <c r="AP56" s="1">
        <v>4.5375967123287668E-2</v>
      </c>
      <c r="AQ56" s="4">
        <f t="shared" si="9"/>
        <v>0.14956653150684932</v>
      </c>
      <c r="AR56" s="1">
        <v>0.35065258630136986</v>
      </c>
      <c r="AS56" s="1">
        <v>0.37494034520547947</v>
      </c>
      <c r="AT56" s="1">
        <v>0.27440706849315066</v>
      </c>
      <c r="AU56" s="1">
        <f t="shared" si="10"/>
        <v>0.15386612602739727</v>
      </c>
      <c r="AV56" s="1">
        <v>9</v>
      </c>
      <c r="AW56">
        <v>364</v>
      </c>
      <c r="AX56">
        <v>335</v>
      </c>
      <c r="AY56" s="6">
        <v>19</v>
      </c>
      <c r="AZ56" s="6">
        <v>4</v>
      </c>
      <c r="BA56" s="11">
        <f t="shared" si="11"/>
        <v>21.411764705882351</v>
      </c>
      <c r="BB56">
        <f t="shared" si="12"/>
        <v>19.705882352941178</v>
      </c>
      <c r="BC56">
        <f t="shared" si="13"/>
        <v>29</v>
      </c>
      <c r="BD56">
        <f t="shared" si="14"/>
        <v>1.7058823529411764</v>
      </c>
      <c r="BE56" s="10">
        <v>8.8552103490290595</v>
      </c>
      <c r="BF56" s="6">
        <v>26.484380000000002</v>
      </c>
      <c r="BG56" s="6">
        <v>27.665520000000001</v>
      </c>
      <c r="BH56" s="6">
        <v>0.55143500000000001</v>
      </c>
      <c r="BI56" s="6">
        <v>0.59375</v>
      </c>
      <c r="BJ56" s="6"/>
      <c r="BK56" s="6" t="s">
        <v>80</v>
      </c>
      <c r="BL56" s="6" t="s">
        <v>74</v>
      </c>
      <c r="BM56" s="6" t="s">
        <v>81</v>
      </c>
      <c r="BN56" s="6" t="s">
        <v>75</v>
      </c>
    </row>
    <row r="57" spans="1:66">
      <c r="A57" s="1" t="s">
        <v>167</v>
      </c>
      <c r="B57" s="1">
        <v>2021</v>
      </c>
      <c r="C57" s="1" t="s">
        <v>126</v>
      </c>
      <c r="D57" s="1">
        <v>8984088</v>
      </c>
      <c r="E57" s="1">
        <v>14243098</v>
      </c>
      <c r="F57" s="1">
        <v>17100319</v>
      </c>
      <c r="G57" s="1">
        <v>13588566</v>
      </c>
      <c r="H57" s="2">
        <f t="shared" si="0"/>
        <v>30688885</v>
      </c>
      <c r="I57" s="2">
        <f>H57+E57</f>
        <v>44931983</v>
      </c>
      <c r="J57" s="1">
        <v>30547004</v>
      </c>
      <c r="K57" s="2">
        <f t="shared" si="1"/>
        <v>53916071</v>
      </c>
      <c r="L57" s="1">
        <v>84463075</v>
      </c>
      <c r="M57" s="1">
        <v>17946070</v>
      </c>
      <c r="N57" s="1">
        <v>6332731</v>
      </c>
      <c r="O57" s="4">
        <f t="shared" si="2"/>
        <v>24278801</v>
      </c>
      <c r="P57" s="1">
        <v>11369889</v>
      </c>
      <c r="Q57" s="4">
        <f t="shared" si="3"/>
        <v>35648690</v>
      </c>
      <c r="R57" s="1">
        <v>16104871</v>
      </c>
      <c r="S57" s="1">
        <v>20717406</v>
      </c>
      <c r="T57" s="4">
        <f t="shared" si="4"/>
        <v>36822277</v>
      </c>
      <c r="U57" s="1">
        <v>72470967</v>
      </c>
      <c r="V57" s="1">
        <v>2021</v>
      </c>
      <c r="W57" s="8">
        <v>40829531</v>
      </c>
      <c r="X57" s="1">
        <v>0.23499999999999999</v>
      </c>
      <c r="Y57" s="1">
        <v>0</v>
      </c>
      <c r="Z57" s="1">
        <v>0</v>
      </c>
      <c r="AA57" s="1">
        <v>182500000</v>
      </c>
      <c r="AB57" s="1">
        <v>4.9227879452054792E-2</v>
      </c>
      <c r="AC57" s="1">
        <v>7.804437260273972E-2</v>
      </c>
      <c r="AD57" s="1">
        <v>9.3700378082191782E-2</v>
      </c>
      <c r="AE57" s="1">
        <v>7.4457895890410963E-2</v>
      </c>
      <c r="AF57" s="2">
        <f t="shared" si="5"/>
        <v>0.16815827397260275</v>
      </c>
      <c r="AG57" s="2">
        <f>AF57+AC57</f>
        <v>0.24620264657534247</v>
      </c>
      <c r="AH57" s="1">
        <v>0.16738084383561644</v>
      </c>
      <c r="AI57" s="2">
        <f t="shared" si="6"/>
        <v>0.29543052602739728</v>
      </c>
      <c r="AJ57" s="1">
        <v>9.8334630136986304E-2</v>
      </c>
      <c r="AK57" s="1">
        <v>3.4699895890410962E-2</v>
      </c>
      <c r="AL57" s="4">
        <f t="shared" si="7"/>
        <v>0.13303452602739727</v>
      </c>
      <c r="AM57" s="1">
        <v>6.230076164383562E-2</v>
      </c>
      <c r="AN57" s="4">
        <f t="shared" si="8"/>
        <v>0.19533528767123287</v>
      </c>
      <c r="AO57" s="1">
        <v>8.8245868493150678E-2</v>
      </c>
      <c r="AP57" s="1">
        <v>0.11352003287671233</v>
      </c>
      <c r="AQ57" s="4">
        <f t="shared" si="9"/>
        <v>0.201765901369863</v>
      </c>
      <c r="AR57" s="1">
        <v>0.39710118904109587</v>
      </c>
      <c r="AS57" s="1">
        <v>0.46281136986301369</v>
      </c>
      <c r="AT57" s="1">
        <v>0.14008744109589044</v>
      </c>
      <c r="AU57" s="1">
        <f t="shared" si="10"/>
        <v>0.22372345753424658</v>
      </c>
      <c r="AV57" s="1">
        <v>4</v>
      </c>
      <c r="AW57">
        <v>258</v>
      </c>
      <c r="AX57">
        <v>416</v>
      </c>
      <c r="AY57" s="6">
        <v>31</v>
      </c>
      <c r="AZ57" s="6">
        <v>23</v>
      </c>
      <c r="BA57" s="11">
        <f t="shared" si="11"/>
        <v>15.176470588235293</v>
      </c>
      <c r="BB57">
        <f t="shared" si="12"/>
        <v>24.470588235294116</v>
      </c>
      <c r="BC57">
        <f t="shared" si="13"/>
        <v>-158</v>
      </c>
      <c r="BD57">
        <f t="shared" si="14"/>
        <v>-9.2941176470588243</v>
      </c>
      <c r="BE57" s="10">
        <v>3.7435953399302302</v>
      </c>
      <c r="BF57" s="6">
        <v>25.917809999999999</v>
      </c>
      <c r="BG57" s="6">
        <v>26.75084</v>
      </c>
      <c r="BH57" s="6">
        <v>0.56480900000000001</v>
      </c>
      <c r="BI57" s="6">
        <v>0.50684899999999999</v>
      </c>
      <c r="BJ57" s="6"/>
      <c r="BK57" s="6" t="s">
        <v>73</v>
      </c>
      <c r="BL57" s="6" t="s">
        <v>74</v>
      </c>
      <c r="BM57" s="6" t="s">
        <v>75</v>
      </c>
      <c r="BN57" s="6" t="s">
        <v>75</v>
      </c>
    </row>
    <row r="58" spans="1:66">
      <c r="A58" s="1" t="s">
        <v>168</v>
      </c>
      <c r="B58" s="1">
        <v>2021</v>
      </c>
      <c r="C58" s="1" t="s">
        <v>128</v>
      </c>
      <c r="D58" s="1">
        <v>7962377</v>
      </c>
      <c r="E58" s="1">
        <v>3954009</v>
      </c>
      <c r="F58" s="1">
        <v>29573413</v>
      </c>
      <c r="G58" s="1">
        <v>6176082</v>
      </c>
      <c r="H58" s="2">
        <f t="shared" si="0"/>
        <v>35749495</v>
      </c>
      <c r="I58" s="2">
        <f>H58+E58</f>
        <v>39703504</v>
      </c>
      <c r="J58" s="1">
        <v>45637619</v>
      </c>
      <c r="K58" s="2">
        <f t="shared" si="1"/>
        <v>47665881</v>
      </c>
      <c r="L58" s="1">
        <v>93303500</v>
      </c>
      <c r="M58" s="1">
        <v>18957019</v>
      </c>
      <c r="N58" s="1">
        <v>17880400</v>
      </c>
      <c r="O58" s="4">
        <f t="shared" si="2"/>
        <v>36837419</v>
      </c>
      <c r="P58" s="1">
        <v>16904572</v>
      </c>
      <c r="Q58" s="4">
        <f t="shared" si="3"/>
        <v>53741991</v>
      </c>
      <c r="R58" s="1">
        <v>15659946</v>
      </c>
      <c r="S58" s="1">
        <v>6983190</v>
      </c>
      <c r="T58" s="4">
        <f t="shared" si="4"/>
        <v>22643136</v>
      </c>
      <c r="U58" s="1">
        <v>76385127</v>
      </c>
      <c r="V58" s="1">
        <v>2021</v>
      </c>
      <c r="W58" s="8">
        <v>79238768</v>
      </c>
      <c r="X58" s="1">
        <v>0.23499999999999999</v>
      </c>
      <c r="Y58" s="1">
        <v>0</v>
      </c>
      <c r="Z58" s="1">
        <v>0</v>
      </c>
      <c r="AA58" s="1">
        <v>182500000</v>
      </c>
      <c r="AB58" s="1">
        <v>4.3629463013698633E-2</v>
      </c>
      <c r="AC58" s="1">
        <v>2.1665802739726028E-2</v>
      </c>
      <c r="AD58" s="1">
        <v>0.162046098630137</v>
      </c>
      <c r="AE58" s="1">
        <v>3.3841545205479454E-2</v>
      </c>
      <c r="AF58" s="2">
        <f t="shared" si="5"/>
        <v>0.19588764383561647</v>
      </c>
      <c r="AG58" s="2">
        <f>AF58+AC58</f>
        <v>0.21755344657534248</v>
      </c>
      <c r="AH58" s="1">
        <v>0.25006914520547946</v>
      </c>
      <c r="AI58" s="2">
        <f t="shared" si="6"/>
        <v>0.26118290958904111</v>
      </c>
      <c r="AJ58" s="1">
        <v>0.10387407671232876</v>
      </c>
      <c r="AK58" s="1">
        <v>9.7974794520547942E-2</v>
      </c>
      <c r="AL58" s="4">
        <f t="shared" si="7"/>
        <v>0.2018488712328767</v>
      </c>
      <c r="AM58" s="1">
        <v>9.2627791780821922E-2</v>
      </c>
      <c r="AN58" s="4">
        <f t="shared" si="8"/>
        <v>0.29447666301369863</v>
      </c>
      <c r="AO58" s="1">
        <v>8.5807923287671228E-2</v>
      </c>
      <c r="AP58" s="1">
        <v>3.8264054794520545E-2</v>
      </c>
      <c r="AQ58" s="4">
        <f t="shared" si="9"/>
        <v>0.12407197808219178</v>
      </c>
      <c r="AR58" s="1">
        <v>0.41854864109589041</v>
      </c>
      <c r="AS58" s="1">
        <v>0.51125205479452052</v>
      </c>
      <c r="AT58" s="1">
        <v>7.0199304109589078E-2</v>
      </c>
      <c r="AU58" s="1">
        <f t="shared" si="10"/>
        <v>0.43418503013698628</v>
      </c>
      <c r="AV58" s="1">
        <v>4</v>
      </c>
      <c r="AW58">
        <v>310</v>
      </c>
      <c r="AX58">
        <v>504</v>
      </c>
      <c r="AY58" s="6">
        <v>28</v>
      </c>
      <c r="AZ58" s="6">
        <v>32</v>
      </c>
      <c r="BA58" s="11">
        <f t="shared" si="11"/>
        <v>18.235294117647058</v>
      </c>
      <c r="BB58">
        <f t="shared" si="12"/>
        <v>29.647058823529413</v>
      </c>
      <c r="BC58">
        <f t="shared" si="13"/>
        <v>-194</v>
      </c>
      <c r="BD58">
        <f t="shared" si="14"/>
        <v>-11.411764705882353</v>
      </c>
      <c r="BE58" s="10">
        <v>2.7595411116388799</v>
      </c>
      <c r="BF58" s="6">
        <v>25.45205</v>
      </c>
      <c r="BG58" s="6">
        <v>26.448969999999999</v>
      </c>
      <c r="BH58" s="6">
        <v>0.62369200000000002</v>
      </c>
      <c r="BI58" s="6">
        <v>0.41095900000000002</v>
      </c>
      <c r="BJ58" s="6"/>
      <c r="BK58" s="6" t="s">
        <v>73</v>
      </c>
      <c r="BL58" s="6" t="s">
        <v>68</v>
      </c>
      <c r="BM58" s="6" t="s">
        <v>99</v>
      </c>
      <c r="BN58" s="6" t="s">
        <v>93</v>
      </c>
    </row>
    <row r="59" spans="1:66">
      <c r="A59" s="1" t="s">
        <v>169</v>
      </c>
      <c r="B59" s="1">
        <v>2021</v>
      </c>
      <c r="C59" s="1" t="s">
        <v>130</v>
      </c>
      <c r="D59" s="1">
        <v>2622691</v>
      </c>
      <c r="E59" s="1">
        <v>3587095</v>
      </c>
      <c r="F59" s="1">
        <v>10234216</v>
      </c>
      <c r="G59" s="1">
        <v>5787910</v>
      </c>
      <c r="H59" s="2">
        <f t="shared" si="0"/>
        <v>16022126</v>
      </c>
      <c r="I59" s="2">
        <f>H59+E59</f>
        <v>19609221</v>
      </c>
      <c r="J59" s="1">
        <v>38148853</v>
      </c>
      <c r="K59" s="2">
        <f t="shared" si="1"/>
        <v>22231912</v>
      </c>
      <c r="L59" s="1">
        <v>60380765</v>
      </c>
      <c r="M59" s="1">
        <v>21527711</v>
      </c>
      <c r="N59" s="1">
        <v>16619103</v>
      </c>
      <c r="O59" s="4">
        <f t="shared" si="2"/>
        <v>38146814</v>
      </c>
      <c r="P59" s="1">
        <v>5457482</v>
      </c>
      <c r="Q59" s="4">
        <f t="shared" si="3"/>
        <v>43604296</v>
      </c>
      <c r="R59" s="1">
        <v>5487108</v>
      </c>
      <c r="S59" s="1">
        <v>15124292</v>
      </c>
      <c r="T59" s="4">
        <f t="shared" si="4"/>
        <v>20611400</v>
      </c>
      <c r="U59" s="1">
        <v>64215696</v>
      </c>
      <c r="V59" s="1">
        <v>2021</v>
      </c>
      <c r="W59" s="8">
        <v>22982139</v>
      </c>
      <c r="X59" s="1">
        <v>0.52900000000000003</v>
      </c>
      <c r="Y59" s="1">
        <v>1</v>
      </c>
      <c r="Z59" s="1">
        <v>0</v>
      </c>
      <c r="AA59" s="1">
        <v>182500000</v>
      </c>
      <c r="AB59" s="1">
        <v>1.4370909589041097E-2</v>
      </c>
      <c r="AC59" s="1">
        <v>1.9655315068493152E-2</v>
      </c>
      <c r="AD59" s="1">
        <v>5.6077895890410956E-2</v>
      </c>
      <c r="AE59" s="1">
        <v>3.1714575342465752E-2</v>
      </c>
      <c r="AF59" s="2">
        <f t="shared" si="5"/>
        <v>8.7792471232876701E-2</v>
      </c>
      <c r="AG59" s="2">
        <f>AF59+AC59</f>
        <v>0.10744778630136985</v>
      </c>
      <c r="AH59" s="1">
        <v>0.20903481095890411</v>
      </c>
      <c r="AI59" s="2">
        <f t="shared" si="6"/>
        <v>0.12181869589041094</v>
      </c>
      <c r="AJ59" s="1">
        <v>0.1179600602739726</v>
      </c>
      <c r="AK59" s="1">
        <v>9.1063578082191787E-2</v>
      </c>
      <c r="AL59" s="4">
        <f t="shared" si="7"/>
        <v>0.20902363835616439</v>
      </c>
      <c r="AM59" s="1">
        <v>2.9904010958904111E-2</v>
      </c>
      <c r="AN59" s="4">
        <f t="shared" si="8"/>
        <v>0.23892764931506849</v>
      </c>
      <c r="AO59" s="1">
        <v>3.0066345205479451E-2</v>
      </c>
      <c r="AP59" s="1">
        <v>8.2872832876712335E-2</v>
      </c>
      <c r="AQ59" s="4">
        <f t="shared" si="9"/>
        <v>0.11293917808219178</v>
      </c>
      <c r="AR59" s="1">
        <v>0.35186682739726027</v>
      </c>
      <c r="AS59" s="1">
        <v>0.33085350684931508</v>
      </c>
      <c r="AT59" s="1">
        <v>0.3172796657534247</v>
      </c>
      <c r="AU59" s="1">
        <f t="shared" si="10"/>
        <v>0.12592952876712329</v>
      </c>
      <c r="AV59" s="1">
        <v>9</v>
      </c>
      <c r="AW59">
        <v>444</v>
      </c>
      <c r="AX59">
        <v>385</v>
      </c>
      <c r="AY59" s="6">
        <v>12</v>
      </c>
      <c r="AZ59" s="6">
        <v>18</v>
      </c>
      <c r="BA59" s="11">
        <f t="shared" si="11"/>
        <v>26.117647058823529</v>
      </c>
      <c r="BB59">
        <f t="shared" si="12"/>
        <v>22.647058823529413</v>
      </c>
      <c r="BC59">
        <f t="shared" si="13"/>
        <v>59</v>
      </c>
      <c r="BD59">
        <f t="shared" si="14"/>
        <v>3.4705882352941178</v>
      </c>
      <c r="BE59" s="10">
        <v>9.6752555374905302</v>
      </c>
      <c r="BF59" s="6">
        <v>25.5</v>
      </c>
      <c r="BG59" s="6">
        <v>27.925699999999999</v>
      </c>
      <c r="BH59" s="6">
        <v>0.59654799999999997</v>
      </c>
      <c r="BI59" s="6">
        <v>0.54166700000000001</v>
      </c>
      <c r="BJ59" s="6"/>
      <c r="BK59" s="6" t="s">
        <v>80</v>
      </c>
      <c r="BL59" s="6" t="s">
        <v>68</v>
      </c>
      <c r="BM59" s="6" t="s">
        <v>92</v>
      </c>
      <c r="BN59" s="6" t="s">
        <v>93</v>
      </c>
    </row>
    <row r="60" spans="1:66">
      <c r="A60" s="1" t="s">
        <v>170</v>
      </c>
      <c r="B60" s="1">
        <v>2021</v>
      </c>
      <c r="C60" s="1" t="s">
        <v>132</v>
      </c>
      <c r="D60" s="1">
        <v>29853066</v>
      </c>
      <c r="E60" s="1">
        <v>5480165</v>
      </c>
      <c r="F60" s="1">
        <v>8548274</v>
      </c>
      <c r="G60" s="1">
        <v>6995881</v>
      </c>
      <c r="H60" s="2">
        <f t="shared" si="0"/>
        <v>15544155</v>
      </c>
      <c r="I60" s="2">
        <f>H60+E60</f>
        <v>21024320</v>
      </c>
      <c r="J60" s="1">
        <v>15125238</v>
      </c>
      <c r="K60" s="2">
        <f t="shared" si="1"/>
        <v>50877386</v>
      </c>
      <c r="L60" s="1">
        <v>66002624</v>
      </c>
      <c r="M60" s="1">
        <v>23090770</v>
      </c>
      <c r="N60" s="1">
        <v>10365229</v>
      </c>
      <c r="O60" s="4">
        <f t="shared" si="2"/>
        <v>33455999</v>
      </c>
      <c r="P60" s="1">
        <v>11332162</v>
      </c>
      <c r="Q60" s="4">
        <f t="shared" si="3"/>
        <v>44788161</v>
      </c>
      <c r="R60" s="1">
        <v>7309930</v>
      </c>
      <c r="S60" s="1">
        <v>21940345</v>
      </c>
      <c r="T60" s="4">
        <f t="shared" si="4"/>
        <v>29250275</v>
      </c>
      <c r="U60" s="1">
        <v>74038436</v>
      </c>
      <c r="V60" s="1">
        <v>2021</v>
      </c>
      <c r="W60" s="8">
        <v>20351790</v>
      </c>
      <c r="X60" s="1">
        <v>0.55900000000000005</v>
      </c>
      <c r="Y60" s="1">
        <v>1</v>
      </c>
      <c r="Z60" s="1">
        <v>0</v>
      </c>
      <c r="AA60" s="1">
        <v>182500000</v>
      </c>
      <c r="AB60" s="1">
        <v>0.16357844383561643</v>
      </c>
      <c r="AC60" s="1">
        <v>3.0028301369863012E-2</v>
      </c>
      <c r="AD60" s="1">
        <v>4.6839857534246576E-2</v>
      </c>
      <c r="AE60" s="1">
        <v>3.8333594520547944E-2</v>
      </c>
      <c r="AF60" s="2">
        <f t="shared" si="5"/>
        <v>8.5173452054794513E-2</v>
      </c>
      <c r="AG60" s="2">
        <f>AF60+AC60</f>
        <v>0.11520175342465752</v>
      </c>
      <c r="AH60" s="1">
        <v>8.287801643835617E-2</v>
      </c>
      <c r="AI60" s="2">
        <f t="shared" si="6"/>
        <v>0.27878019726027398</v>
      </c>
      <c r="AJ60" s="1">
        <v>0.12652476712328767</v>
      </c>
      <c r="AK60" s="1">
        <v>5.6795775342465757E-2</v>
      </c>
      <c r="AL60" s="4">
        <f t="shared" si="7"/>
        <v>0.18332054246575341</v>
      </c>
      <c r="AM60" s="1">
        <v>6.2094038356164387E-2</v>
      </c>
      <c r="AN60" s="4">
        <f t="shared" si="8"/>
        <v>0.2454145808219178</v>
      </c>
      <c r="AO60" s="1">
        <v>4.0054410958904108E-2</v>
      </c>
      <c r="AP60" s="1">
        <v>0.12022106849315069</v>
      </c>
      <c r="AQ60" s="4">
        <f t="shared" si="9"/>
        <v>0.16027547945205478</v>
      </c>
      <c r="AR60" s="1">
        <v>0.40569006027397259</v>
      </c>
      <c r="AS60" s="1">
        <v>0.36165821369863016</v>
      </c>
      <c r="AT60" s="1">
        <v>0.23265172602739725</v>
      </c>
      <c r="AU60" s="1">
        <f t="shared" si="10"/>
        <v>0.11151665753424657</v>
      </c>
      <c r="AV60" s="1">
        <v>9</v>
      </c>
      <c r="AW60">
        <v>343</v>
      </c>
      <c r="AX60">
        <v>398</v>
      </c>
      <c r="AY60" s="6">
        <v>21</v>
      </c>
      <c r="AZ60" s="6">
        <v>20</v>
      </c>
      <c r="BA60" s="11">
        <f t="shared" si="11"/>
        <v>20.176470588235293</v>
      </c>
      <c r="BB60">
        <f t="shared" si="12"/>
        <v>23.411764705882351</v>
      </c>
      <c r="BC60">
        <f t="shared" si="13"/>
        <v>-55</v>
      </c>
      <c r="BD60">
        <f t="shared" si="14"/>
        <v>-3.2352941176470589</v>
      </c>
      <c r="BE60" s="10">
        <v>6.5590838206863697</v>
      </c>
      <c r="BF60" s="6">
        <v>25.919350000000001</v>
      </c>
      <c r="BG60" s="6">
        <v>29.43225</v>
      </c>
      <c r="BH60" s="6">
        <v>0.589727</v>
      </c>
      <c r="BI60" s="6">
        <v>0.56451600000000002</v>
      </c>
      <c r="BJ60" s="6"/>
      <c r="BK60" s="6" t="s">
        <v>67</v>
      </c>
      <c r="BL60" s="6" t="s">
        <v>74</v>
      </c>
      <c r="BM60" s="6" t="s">
        <v>102</v>
      </c>
      <c r="BN60" s="6" t="s">
        <v>70</v>
      </c>
    </row>
    <row r="61" spans="1:66">
      <c r="A61" s="1" t="s">
        <v>171</v>
      </c>
      <c r="B61" s="1">
        <v>2021</v>
      </c>
      <c r="C61" s="1" t="s">
        <v>134</v>
      </c>
      <c r="D61" s="1">
        <v>33349156</v>
      </c>
      <c r="E61" s="1">
        <v>8755882</v>
      </c>
      <c r="F61" s="1">
        <v>9519367</v>
      </c>
      <c r="G61" s="1">
        <v>7605421</v>
      </c>
      <c r="H61" s="2">
        <f t="shared" si="0"/>
        <v>17124788</v>
      </c>
      <c r="I61" s="2">
        <f>H61+E61</f>
        <v>25880670</v>
      </c>
      <c r="J61" s="1">
        <v>29961607</v>
      </c>
      <c r="K61" s="2">
        <f t="shared" si="1"/>
        <v>59229826</v>
      </c>
      <c r="L61" s="1">
        <v>89191433</v>
      </c>
      <c r="M61" s="1">
        <v>21445797</v>
      </c>
      <c r="N61" s="1">
        <v>25138133</v>
      </c>
      <c r="O61" s="4">
        <f t="shared" si="2"/>
        <v>46583930</v>
      </c>
      <c r="P61" s="1">
        <v>7616028</v>
      </c>
      <c r="Q61" s="4">
        <f t="shared" si="3"/>
        <v>54199958</v>
      </c>
      <c r="R61" s="1">
        <v>9059886</v>
      </c>
      <c r="S61" s="1">
        <v>12969437</v>
      </c>
      <c r="T61" s="4">
        <f t="shared" si="4"/>
        <v>22029323</v>
      </c>
      <c r="U61" s="1">
        <v>76229281</v>
      </c>
      <c r="V61" s="1">
        <v>2021</v>
      </c>
      <c r="W61" s="8">
        <v>32186465</v>
      </c>
      <c r="X61" s="1">
        <v>0.58799999999999997</v>
      </c>
      <c r="Y61" s="1">
        <v>1</v>
      </c>
      <c r="Z61" s="1">
        <v>0</v>
      </c>
      <c r="AA61" s="1">
        <v>182500000</v>
      </c>
      <c r="AB61" s="1">
        <v>0.18273510136986301</v>
      </c>
      <c r="AC61" s="1">
        <v>4.7977435616438358E-2</v>
      </c>
      <c r="AD61" s="1">
        <v>5.2160915068493151E-2</v>
      </c>
      <c r="AE61" s="1">
        <v>4.16735397260274E-2</v>
      </c>
      <c r="AF61" s="2">
        <f t="shared" si="5"/>
        <v>9.3834454794520544E-2</v>
      </c>
      <c r="AG61" s="2">
        <f>AF61+AC61</f>
        <v>0.1418118904109589</v>
      </c>
      <c r="AH61" s="1">
        <v>0.1641731890410959</v>
      </c>
      <c r="AI61" s="2">
        <f t="shared" si="6"/>
        <v>0.32454699178082191</v>
      </c>
      <c r="AJ61" s="1">
        <v>0.11751121643835616</v>
      </c>
      <c r="AK61" s="1">
        <v>0.13774319452054795</v>
      </c>
      <c r="AL61" s="4">
        <f t="shared" si="7"/>
        <v>0.25525441095890411</v>
      </c>
      <c r="AM61" s="1">
        <v>4.1731660273972605E-2</v>
      </c>
      <c r="AN61" s="4">
        <f t="shared" si="8"/>
        <v>0.29698607123287674</v>
      </c>
      <c r="AO61" s="1">
        <v>4.9643210958904109E-2</v>
      </c>
      <c r="AP61" s="1">
        <v>7.1065408219178089E-2</v>
      </c>
      <c r="AQ61" s="4">
        <f t="shared" si="9"/>
        <v>0.1207086191780822</v>
      </c>
      <c r="AR61" s="1">
        <v>0.41769469041095891</v>
      </c>
      <c r="AS61" s="1">
        <v>0.48872018082191782</v>
      </c>
      <c r="AT61" s="1">
        <v>9.3585128767123216E-2</v>
      </c>
      <c r="AU61" s="1">
        <f t="shared" si="10"/>
        <v>0.17636419178082191</v>
      </c>
      <c r="AV61" s="1">
        <v>10</v>
      </c>
      <c r="AW61">
        <v>427</v>
      </c>
      <c r="AX61">
        <v>365</v>
      </c>
      <c r="AY61" s="6">
        <v>13</v>
      </c>
      <c r="AZ61" s="6">
        <v>9</v>
      </c>
      <c r="BA61" s="11">
        <f t="shared" si="11"/>
        <v>25.117647058823529</v>
      </c>
      <c r="BB61">
        <f t="shared" si="12"/>
        <v>21.470588235294116</v>
      </c>
      <c r="BC61">
        <f t="shared" si="13"/>
        <v>62</v>
      </c>
      <c r="BD61">
        <f t="shared" si="14"/>
        <v>3.6470588235294117</v>
      </c>
      <c r="BE61" s="10">
        <v>9.7572600567084393</v>
      </c>
      <c r="BF61" s="6">
        <v>26.923079999999999</v>
      </c>
      <c r="BG61" s="6">
        <v>27.94069</v>
      </c>
      <c r="BH61" s="6">
        <v>0.57883600000000002</v>
      </c>
      <c r="BI61" s="6">
        <v>0.64615400000000001</v>
      </c>
      <c r="BJ61" s="6"/>
      <c r="BK61" s="6" t="s">
        <v>80</v>
      </c>
      <c r="BL61" s="6" t="s">
        <v>74</v>
      </c>
      <c r="BM61" s="6" t="s">
        <v>81</v>
      </c>
      <c r="BN61" s="6" t="s">
        <v>75</v>
      </c>
    </row>
    <row r="62" spans="1:66">
      <c r="A62" s="1" t="s">
        <v>172</v>
      </c>
      <c r="B62" s="1">
        <v>2021</v>
      </c>
      <c r="C62" s="1" t="s">
        <v>136</v>
      </c>
      <c r="D62" s="1">
        <v>33507500</v>
      </c>
      <c r="E62" s="1">
        <v>8917195</v>
      </c>
      <c r="F62" s="1">
        <v>12939419</v>
      </c>
      <c r="G62" s="1">
        <v>6010177</v>
      </c>
      <c r="H62" s="2">
        <f t="shared" si="0"/>
        <v>18949596</v>
      </c>
      <c r="I62" s="2">
        <f>H62+E62</f>
        <v>27866791</v>
      </c>
      <c r="J62" s="1">
        <v>26938287</v>
      </c>
      <c r="K62" s="2">
        <f t="shared" si="1"/>
        <v>61374291</v>
      </c>
      <c r="L62" s="1">
        <v>88312578</v>
      </c>
      <c r="M62" s="1">
        <v>9216698</v>
      </c>
      <c r="N62" s="1">
        <v>11869192</v>
      </c>
      <c r="O62" s="4">
        <f t="shared" si="2"/>
        <v>21085890</v>
      </c>
      <c r="P62" s="1">
        <v>24484624</v>
      </c>
      <c r="Q62" s="4">
        <f t="shared" si="3"/>
        <v>45570514</v>
      </c>
      <c r="R62" s="1">
        <v>11188515</v>
      </c>
      <c r="S62" s="1">
        <v>6760542</v>
      </c>
      <c r="T62" s="4">
        <f t="shared" si="4"/>
        <v>17949057</v>
      </c>
      <c r="U62" s="1">
        <v>63519571</v>
      </c>
      <c r="V62" s="1">
        <v>2021</v>
      </c>
      <c r="W62" s="8">
        <v>19983486</v>
      </c>
      <c r="X62" s="1">
        <v>0.41199999999999998</v>
      </c>
      <c r="Y62" s="1">
        <v>0</v>
      </c>
      <c r="Z62" s="1">
        <v>0</v>
      </c>
      <c r="AA62" s="1">
        <v>182500000</v>
      </c>
      <c r="AB62" s="1">
        <v>0.18360273972602739</v>
      </c>
      <c r="AC62" s="1">
        <v>4.8861342465753424E-2</v>
      </c>
      <c r="AD62" s="1">
        <v>7.0900926027397254E-2</v>
      </c>
      <c r="AE62" s="1">
        <v>3.2932476712328768E-2</v>
      </c>
      <c r="AF62" s="2">
        <f t="shared" si="5"/>
        <v>0.10383340273972602</v>
      </c>
      <c r="AG62" s="2">
        <f>AF62+AC62</f>
        <v>0.15269474520547943</v>
      </c>
      <c r="AH62" s="1">
        <v>0.14760705205479452</v>
      </c>
      <c r="AI62" s="2">
        <f t="shared" si="6"/>
        <v>0.33629748493150691</v>
      </c>
      <c r="AJ62" s="1">
        <v>5.0502454794520549E-2</v>
      </c>
      <c r="AK62" s="1">
        <v>6.5036668493150679E-2</v>
      </c>
      <c r="AL62" s="4">
        <f t="shared" si="7"/>
        <v>0.11553912328767123</v>
      </c>
      <c r="AM62" s="1">
        <v>0.13416232328767122</v>
      </c>
      <c r="AN62" s="4">
        <f t="shared" si="8"/>
        <v>0.24970144657534243</v>
      </c>
      <c r="AO62" s="1">
        <v>6.1306931506849315E-2</v>
      </c>
      <c r="AP62" s="1">
        <v>3.7044065753424657E-2</v>
      </c>
      <c r="AQ62" s="4">
        <f t="shared" si="9"/>
        <v>9.8350997260273965E-2</v>
      </c>
      <c r="AR62" s="1">
        <v>0.34805244383561645</v>
      </c>
      <c r="AS62" s="1">
        <v>0.48390453698630137</v>
      </c>
      <c r="AT62" s="1">
        <v>0.16804301917808218</v>
      </c>
      <c r="AU62" s="1">
        <f t="shared" si="10"/>
        <v>0.10949855342465753</v>
      </c>
      <c r="AV62" s="1">
        <v>7</v>
      </c>
      <c r="AW62">
        <v>395</v>
      </c>
      <c r="AX62">
        <v>366</v>
      </c>
      <c r="AY62" s="6">
        <v>16</v>
      </c>
      <c r="AZ62" s="6">
        <v>11</v>
      </c>
      <c r="BA62" s="11">
        <f t="shared" si="11"/>
        <v>23.235294117647058</v>
      </c>
      <c r="BB62">
        <f t="shared" si="12"/>
        <v>21.529411764705884</v>
      </c>
      <c r="BC62">
        <f t="shared" si="13"/>
        <v>29</v>
      </c>
      <c r="BD62">
        <f t="shared" si="14"/>
        <v>1.7058823529411764</v>
      </c>
      <c r="BE62" s="10">
        <v>8.8552103490290595</v>
      </c>
      <c r="BF62" s="6">
        <v>26.318840000000002</v>
      </c>
      <c r="BG62" s="6">
        <v>29.235859999999999</v>
      </c>
      <c r="BH62" s="6">
        <v>0.63158700000000001</v>
      </c>
      <c r="BI62" s="6">
        <v>0.55072500000000002</v>
      </c>
      <c r="BJ62" s="6"/>
      <c r="BK62" s="6" t="s">
        <v>67</v>
      </c>
      <c r="BL62" s="6" t="s">
        <v>96</v>
      </c>
      <c r="BM62" s="6" t="s">
        <v>70</v>
      </c>
      <c r="BN62" s="6" t="s">
        <v>70</v>
      </c>
    </row>
    <row r="63" spans="1:66">
      <c r="A63" s="1" t="s">
        <v>173</v>
      </c>
      <c r="B63" s="1">
        <v>2021</v>
      </c>
      <c r="C63" s="1" t="s">
        <v>138</v>
      </c>
      <c r="D63" s="1">
        <v>13552013</v>
      </c>
      <c r="E63" s="1">
        <v>7903400</v>
      </c>
      <c r="F63" s="1">
        <v>27844841</v>
      </c>
      <c r="G63" s="1">
        <v>11246722</v>
      </c>
      <c r="H63" s="2">
        <f t="shared" si="0"/>
        <v>39091563</v>
      </c>
      <c r="I63" s="2">
        <f>H63+E63</f>
        <v>46994963</v>
      </c>
      <c r="J63" s="1">
        <v>32632000</v>
      </c>
      <c r="K63" s="2">
        <f t="shared" si="1"/>
        <v>60546976</v>
      </c>
      <c r="L63" s="1">
        <v>93178976</v>
      </c>
      <c r="M63" s="1">
        <v>18437066</v>
      </c>
      <c r="N63" s="1">
        <v>20874895</v>
      </c>
      <c r="O63" s="4">
        <f t="shared" si="2"/>
        <v>39311961</v>
      </c>
      <c r="P63" s="1">
        <v>14636136</v>
      </c>
      <c r="Q63" s="4">
        <f t="shared" si="3"/>
        <v>53948097</v>
      </c>
      <c r="R63" s="1">
        <v>6607793</v>
      </c>
      <c r="S63" s="1">
        <v>10080486</v>
      </c>
      <c r="T63" s="4">
        <f t="shared" si="4"/>
        <v>16688279</v>
      </c>
      <c r="U63" s="1">
        <v>70636376</v>
      </c>
      <c r="V63" s="1">
        <v>2021</v>
      </c>
      <c r="W63" s="8">
        <v>19333000</v>
      </c>
      <c r="X63" s="1">
        <v>0.76500000000000001</v>
      </c>
      <c r="Y63" s="1">
        <v>1</v>
      </c>
      <c r="Z63" s="1">
        <v>0</v>
      </c>
      <c r="AA63" s="1">
        <v>182500000</v>
      </c>
      <c r="AB63" s="1">
        <v>7.4257605479452052E-2</v>
      </c>
      <c r="AC63" s="1">
        <v>4.3306301369863014E-2</v>
      </c>
      <c r="AD63" s="1">
        <v>0.15257447123287671</v>
      </c>
      <c r="AE63" s="1">
        <v>6.1625873972602739E-2</v>
      </c>
      <c r="AF63" s="2">
        <f t="shared" si="5"/>
        <v>0.21420034520547945</v>
      </c>
      <c r="AG63" s="2">
        <f>AF63+AC63</f>
        <v>0.25750664657534245</v>
      </c>
      <c r="AH63" s="1">
        <v>0.1788054794520548</v>
      </c>
      <c r="AI63" s="2">
        <f t="shared" si="6"/>
        <v>0.33176425205479448</v>
      </c>
      <c r="AJ63" s="1">
        <v>0.1010250191780822</v>
      </c>
      <c r="AK63" s="1">
        <v>0.11438298630136987</v>
      </c>
      <c r="AL63" s="4">
        <f t="shared" si="7"/>
        <v>0.21540800547945205</v>
      </c>
      <c r="AM63" s="1">
        <v>8.019800547945205E-2</v>
      </c>
      <c r="AN63" s="4">
        <f t="shared" si="8"/>
        <v>0.2956060109589041</v>
      </c>
      <c r="AO63" s="1">
        <v>3.6207084931506851E-2</v>
      </c>
      <c r="AP63" s="1">
        <v>5.5235539726027398E-2</v>
      </c>
      <c r="AQ63" s="4">
        <f t="shared" si="9"/>
        <v>9.1442624657534249E-2</v>
      </c>
      <c r="AR63" s="1">
        <v>0.38704863561643837</v>
      </c>
      <c r="AS63" s="1">
        <v>0.51056973150684937</v>
      </c>
      <c r="AT63" s="1">
        <v>0.1023816328767122</v>
      </c>
      <c r="AU63" s="1">
        <f t="shared" si="10"/>
        <v>0.10593424657534246</v>
      </c>
      <c r="AV63" s="1">
        <v>13</v>
      </c>
      <c r="AW63">
        <v>511</v>
      </c>
      <c r="AX63">
        <v>353</v>
      </c>
      <c r="AY63" s="6">
        <v>2</v>
      </c>
      <c r="AZ63" s="6">
        <v>5</v>
      </c>
      <c r="BA63" s="11">
        <f t="shared" si="11"/>
        <v>30.058823529411764</v>
      </c>
      <c r="BB63">
        <f t="shared" si="12"/>
        <v>20.764705882352942</v>
      </c>
      <c r="BC63">
        <f t="shared" si="13"/>
        <v>158</v>
      </c>
      <c r="BD63">
        <f t="shared" si="14"/>
        <v>9.2941176470588243</v>
      </c>
      <c r="BE63" s="10">
        <v>12.381404660064</v>
      </c>
      <c r="BF63" s="6">
        <v>27.55556</v>
      </c>
      <c r="BG63" s="6">
        <v>28.604369999999999</v>
      </c>
      <c r="BH63" s="6">
        <v>0.55218199999999995</v>
      </c>
      <c r="BI63" s="6">
        <v>0.71428599999999998</v>
      </c>
      <c r="BJ63" s="6"/>
      <c r="BK63" s="6" t="s">
        <v>67</v>
      </c>
      <c r="BL63" s="6" t="s">
        <v>74</v>
      </c>
      <c r="BM63" s="6" t="s">
        <v>102</v>
      </c>
      <c r="BN63" s="6" t="s">
        <v>75</v>
      </c>
    </row>
    <row r="64" spans="1:66">
      <c r="A64" s="1" t="s">
        <v>174</v>
      </c>
      <c r="B64" s="1">
        <v>2021</v>
      </c>
      <c r="C64" s="1" t="s">
        <v>140</v>
      </c>
      <c r="D64" s="1">
        <v>12020333</v>
      </c>
      <c r="E64" s="1">
        <v>15512770</v>
      </c>
      <c r="F64" s="1">
        <v>9832138</v>
      </c>
      <c r="G64" s="1">
        <v>7244014</v>
      </c>
      <c r="H64" s="2">
        <f t="shared" si="0"/>
        <v>17076152</v>
      </c>
      <c r="I64" s="2">
        <f>H64+E64</f>
        <v>32588922</v>
      </c>
      <c r="J64" s="1">
        <v>41177168</v>
      </c>
      <c r="K64" s="2">
        <f t="shared" si="1"/>
        <v>44609255</v>
      </c>
      <c r="L64" s="1">
        <v>85786423</v>
      </c>
      <c r="M64" s="1">
        <v>10176787</v>
      </c>
      <c r="N64" s="1">
        <v>10731638</v>
      </c>
      <c r="O64" s="4">
        <f t="shared" si="2"/>
        <v>20908425</v>
      </c>
      <c r="P64" s="1">
        <v>10537795</v>
      </c>
      <c r="Q64" s="4">
        <f t="shared" si="3"/>
        <v>31446220</v>
      </c>
      <c r="R64" s="1">
        <v>18006045</v>
      </c>
      <c r="S64" s="1">
        <v>11198678</v>
      </c>
      <c r="T64" s="4">
        <f t="shared" si="4"/>
        <v>29204723</v>
      </c>
      <c r="U64" s="1">
        <v>60650943</v>
      </c>
      <c r="V64" s="1">
        <v>2021</v>
      </c>
      <c r="W64" s="8">
        <v>11214566</v>
      </c>
      <c r="X64" s="1">
        <v>0.70599999999999996</v>
      </c>
      <c r="Y64" s="1">
        <v>1</v>
      </c>
      <c r="Z64" s="1">
        <v>0</v>
      </c>
      <c r="AA64" s="1">
        <v>182500000</v>
      </c>
      <c r="AB64" s="1">
        <v>6.5864838356164385E-2</v>
      </c>
      <c r="AC64" s="1">
        <v>8.5001479452054801E-2</v>
      </c>
      <c r="AD64" s="1">
        <v>5.3874728767123285E-2</v>
      </c>
      <c r="AE64" s="1">
        <v>3.9693227397260271E-2</v>
      </c>
      <c r="AF64" s="2">
        <f t="shared" si="5"/>
        <v>9.3567956164383556E-2</v>
      </c>
      <c r="AG64" s="2">
        <f>AF64+AC64</f>
        <v>0.17856943561643834</v>
      </c>
      <c r="AH64" s="1">
        <v>0.22562831780821918</v>
      </c>
      <c r="AI64" s="2">
        <f t="shared" si="6"/>
        <v>0.24443427397260276</v>
      </c>
      <c r="AJ64" s="1">
        <v>5.5763216438356161E-2</v>
      </c>
      <c r="AK64" s="1">
        <v>5.8803495890410958E-2</v>
      </c>
      <c r="AL64" s="4">
        <f t="shared" si="7"/>
        <v>0.11456671232876711</v>
      </c>
      <c r="AM64" s="1">
        <v>5.7741342465753423E-2</v>
      </c>
      <c r="AN64" s="4">
        <f t="shared" si="8"/>
        <v>0.17230805479452055</v>
      </c>
      <c r="AO64" s="1">
        <v>9.8663260273972597E-2</v>
      </c>
      <c r="AP64" s="1">
        <v>6.1362619178082195E-2</v>
      </c>
      <c r="AQ64" s="4">
        <f t="shared" si="9"/>
        <v>0.16002587945205479</v>
      </c>
      <c r="AR64" s="1">
        <v>0.33233393424657537</v>
      </c>
      <c r="AS64" s="1">
        <v>0.47006259178082194</v>
      </c>
      <c r="AT64" s="1">
        <v>0.19760347397260269</v>
      </c>
      <c r="AU64" s="1">
        <f t="shared" si="10"/>
        <v>6.1449676712328767E-2</v>
      </c>
      <c r="AV64" s="1">
        <v>12</v>
      </c>
      <c r="AW64">
        <v>419</v>
      </c>
      <c r="AX64">
        <v>354</v>
      </c>
      <c r="AY64" s="6">
        <v>15</v>
      </c>
      <c r="AZ64" s="6">
        <v>6</v>
      </c>
      <c r="BA64" s="11">
        <f t="shared" si="11"/>
        <v>24.647058823529413</v>
      </c>
      <c r="BB64">
        <f t="shared" si="12"/>
        <v>20.823529411764707</v>
      </c>
      <c r="BC64">
        <f t="shared" si="13"/>
        <v>65</v>
      </c>
      <c r="BD64">
        <f t="shared" si="14"/>
        <v>3.8235294117647061</v>
      </c>
      <c r="BE64" s="10">
        <v>9.8392645754616499</v>
      </c>
      <c r="BF64" s="6">
        <v>26.605630000000001</v>
      </c>
      <c r="BG64" s="6">
        <v>28.668469999999999</v>
      </c>
      <c r="BH64" s="6">
        <v>0.622282</v>
      </c>
      <c r="BI64" s="6">
        <v>0.45070399999999999</v>
      </c>
      <c r="BJ64" s="6"/>
      <c r="BK64" s="6" t="s">
        <v>67</v>
      </c>
      <c r="BL64" s="6" t="s">
        <v>68</v>
      </c>
      <c r="BM64" s="6" t="s">
        <v>69</v>
      </c>
      <c r="BN64" s="6" t="s">
        <v>70</v>
      </c>
    </row>
    <row r="65" spans="1:80">
      <c r="A65" s="1" t="s">
        <v>175</v>
      </c>
      <c r="B65" s="1">
        <v>2021</v>
      </c>
      <c r="C65" s="1" t="s">
        <v>142</v>
      </c>
      <c r="D65" s="1">
        <v>13591944</v>
      </c>
      <c r="E65" s="1">
        <v>3951831</v>
      </c>
      <c r="F65" s="1">
        <v>11023030</v>
      </c>
      <c r="G65" s="1">
        <v>7081381</v>
      </c>
      <c r="H65" s="2">
        <f t="shared" si="0"/>
        <v>18104411</v>
      </c>
      <c r="I65" s="2">
        <f>H65+E65</f>
        <v>22056242</v>
      </c>
      <c r="J65" s="1">
        <v>43517622</v>
      </c>
      <c r="K65" s="2">
        <f t="shared" si="1"/>
        <v>35648186</v>
      </c>
      <c r="L65" s="1">
        <v>79165808</v>
      </c>
      <c r="M65" s="1">
        <v>20312747</v>
      </c>
      <c r="N65" s="1">
        <v>13948471</v>
      </c>
      <c r="O65" s="4">
        <f t="shared" si="2"/>
        <v>34261218</v>
      </c>
      <c r="P65" s="1">
        <v>10373793</v>
      </c>
      <c r="Q65" s="4">
        <f t="shared" si="3"/>
        <v>44635011</v>
      </c>
      <c r="R65" s="1">
        <v>22785858</v>
      </c>
      <c r="S65" s="1">
        <v>22097770</v>
      </c>
      <c r="T65" s="4">
        <f t="shared" si="4"/>
        <v>44883628</v>
      </c>
      <c r="U65" s="1">
        <v>89518639</v>
      </c>
      <c r="V65" s="1">
        <v>2021</v>
      </c>
      <c r="W65" s="8">
        <v>62442393</v>
      </c>
      <c r="X65" s="1">
        <v>0.41199999999999998</v>
      </c>
      <c r="Y65" s="1">
        <v>0</v>
      </c>
      <c r="Z65" s="1">
        <v>0</v>
      </c>
      <c r="AA65" s="1">
        <v>182500000</v>
      </c>
      <c r="AB65" s="1">
        <v>7.4476405479452057E-2</v>
      </c>
      <c r="AC65" s="1">
        <v>2.1653868493150683E-2</v>
      </c>
      <c r="AD65" s="1">
        <v>6.0400164383561647E-2</v>
      </c>
      <c r="AE65" s="1">
        <v>3.8802087671232874E-2</v>
      </c>
      <c r="AF65" s="2">
        <f t="shared" si="5"/>
        <v>9.9202252054794521E-2</v>
      </c>
      <c r="AG65" s="2">
        <f>AF65+AC65</f>
        <v>0.1208561205479452</v>
      </c>
      <c r="AH65" s="1">
        <v>0.23845272328767123</v>
      </c>
      <c r="AI65" s="2">
        <f t="shared" si="6"/>
        <v>0.19533252602739726</v>
      </c>
      <c r="AJ65" s="1">
        <v>0.11130272328767123</v>
      </c>
      <c r="AK65" s="1">
        <v>7.6429978082191777E-2</v>
      </c>
      <c r="AL65" s="4">
        <f t="shared" si="7"/>
        <v>0.187732701369863</v>
      </c>
      <c r="AM65" s="1">
        <v>5.6842701369863011E-2</v>
      </c>
      <c r="AN65" s="4">
        <f t="shared" si="8"/>
        <v>0.244575402739726</v>
      </c>
      <c r="AO65" s="1">
        <v>0.12485401643835617</v>
      </c>
      <c r="AP65" s="1">
        <v>0.12108367123287671</v>
      </c>
      <c r="AQ65" s="4">
        <f t="shared" si="9"/>
        <v>0.24593768767123286</v>
      </c>
      <c r="AR65" s="1">
        <v>0.49051309041095892</v>
      </c>
      <c r="AS65" s="1">
        <v>0.43378524931506851</v>
      </c>
      <c r="AT65" s="1">
        <v>7.5701660273972626E-2</v>
      </c>
      <c r="AU65" s="1">
        <f t="shared" si="10"/>
        <v>0.34215009863013701</v>
      </c>
      <c r="AV65" s="1">
        <v>7</v>
      </c>
      <c r="AW65">
        <v>335</v>
      </c>
      <c r="AX65">
        <v>434</v>
      </c>
      <c r="AY65" s="6">
        <v>23</v>
      </c>
      <c r="AZ65" s="6">
        <v>25</v>
      </c>
      <c r="BA65" s="11">
        <f t="shared" si="11"/>
        <v>19.705882352941178</v>
      </c>
      <c r="BB65">
        <f t="shared" si="12"/>
        <v>25.529411764705884</v>
      </c>
      <c r="BC65">
        <f t="shared" si="13"/>
        <v>-99</v>
      </c>
      <c r="BD65">
        <f t="shared" si="14"/>
        <v>-5.8235294117647056</v>
      </c>
      <c r="BE65" s="10">
        <v>5.3563508774236697</v>
      </c>
      <c r="BF65" s="6">
        <v>26.095890000000001</v>
      </c>
      <c r="BG65" s="6">
        <v>27.630880000000001</v>
      </c>
      <c r="BH65" s="6">
        <v>0.63277300000000003</v>
      </c>
      <c r="BI65" s="6">
        <v>0.45205499999999998</v>
      </c>
      <c r="BJ65" s="6"/>
      <c r="BK65" s="6" t="s">
        <v>73</v>
      </c>
      <c r="BL65" s="6" t="s">
        <v>96</v>
      </c>
      <c r="BM65" s="6" t="s">
        <v>93</v>
      </c>
      <c r="BN65" s="6" t="s">
        <v>93</v>
      </c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</row>
    <row r="66" spans="1:80">
      <c r="A66" s="1" t="s">
        <v>176</v>
      </c>
      <c r="B66" s="1">
        <v>2020</v>
      </c>
      <c r="C66" s="1" t="s">
        <v>66</v>
      </c>
      <c r="D66" s="1">
        <v>9578101</v>
      </c>
      <c r="E66" s="1">
        <v>10593827</v>
      </c>
      <c r="F66" s="1">
        <v>23209798</v>
      </c>
      <c r="G66" s="1">
        <v>5105235</v>
      </c>
      <c r="H66" s="2">
        <f t="shared" si="0"/>
        <v>28315033</v>
      </c>
      <c r="I66" s="2">
        <f>H66+E66</f>
        <v>38908860</v>
      </c>
      <c r="J66" s="1">
        <v>29353069</v>
      </c>
      <c r="K66" s="2">
        <f t="shared" si="1"/>
        <v>48486961</v>
      </c>
      <c r="L66" s="1">
        <v>77840030</v>
      </c>
      <c r="M66" s="1">
        <v>12796580</v>
      </c>
      <c r="N66" s="1">
        <v>32876967</v>
      </c>
      <c r="O66" s="4">
        <f t="shared" si="2"/>
        <v>45673547</v>
      </c>
      <c r="P66" s="1">
        <v>18224888</v>
      </c>
      <c r="Q66" s="4">
        <f t="shared" si="3"/>
        <v>63898435</v>
      </c>
      <c r="R66" s="1">
        <v>6926444</v>
      </c>
      <c r="S66" s="1">
        <v>25002424</v>
      </c>
      <c r="T66" s="4">
        <f t="shared" si="4"/>
        <v>31928868</v>
      </c>
      <c r="U66" s="1">
        <v>95827303</v>
      </c>
      <c r="V66" s="1">
        <v>2020</v>
      </c>
      <c r="W66" s="8">
        <v>42808830</v>
      </c>
      <c r="X66" s="1">
        <v>0.5</v>
      </c>
      <c r="Y66" s="1">
        <v>0</v>
      </c>
      <c r="Z66" s="1">
        <v>0</v>
      </c>
      <c r="AA66" s="1">
        <v>198200000</v>
      </c>
      <c r="AB66" s="1">
        <v>4.832543390514632E-2</v>
      </c>
      <c r="AC66" s="1">
        <v>5.3450186680121088E-2</v>
      </c>
      <c r="AD66" s="1">
        <v>0.11710291624621594</v>
      </c>
      <c r="AE66" s="1">
        <v>2.5757996972754792E-2</v>
      </c>
      <c r="AF66" s="2">
        <f t="shared" si="5"/>
        <v>0.14286091321897074</v>
      </c>
      <c r="AG66" s="2">
        <f>AF66+AC66</f>
        <v>0.19631109989909182</v>
      </c>
      <c r="AH66" s="1">
        <v>0.14809822906155398</v>
      </c>
      <c r="AI66" s="2">
        <f t="shared" si="6"/>
        <v>0.24463653380423814</v>
      </c>
      <c r="AJ66" s="1">
        <v>6.4563975782038346E-2</v>
      </c>
      <c r="AK66" s="1">
        <v>0.16587773461150354</v>
      </c>
      <c r="AL66" s="4">
        <f t="shared" si="7"/>
        <v>0.23044171039354189</v>
      </c>
      <c r="AM66" s="1">
        <v>9.1952008072653885E-2</v>
      </c>
      <c r="AN66" s="4">
        <f t="shared" si="8"/>
        <v>0.3223937184661958</v>
      </c>
      <c r="AO66" s="1">
        <v>3.4946740665993944E-2</v>
      </c>
      <c r="AP66" s="1">
        <v>0.12614744702320888</v>
      </c>
      <c r="AQ66" s="4">
        <f t="shared" si="9"/>
        <v>0.16109418768920281</v>
      </c>
      <c r="AR66" s="1">
        <v>0.48348790615539861</v>
      </c>
      <c r="AS66" s="1">
        <v>0.39273476286579212</v>
      </c>
      <c r="AT66" s="1">
        <v>0.12377733097880927</v>
      </c>
      <c r="AU66" s="1">
        <f t="shared" si="10"/>
        <v>0.2159880423814329</v>
      </c>
      <c r="AV66" s="1">
        <v>8</v>
      </c>
      <c r="AW66">
        <v>410</v>
      </c>
      <c r="AX66">
        <v>367</v>
      </c>
      <c r="AY66" s="6">
        <v>13</v>
      </c>
      <c r="AZ66" s="6">
        <v>12</v>
      </c>
      <c r="BA66" s="11">
        <f>AW66/16</f>
        <v>25.625</v>
      </c>
      <c r="BB66">
        <f>AX66/16</f>
        <v>22.9375</v>
      </c>
      <c r="BC66">
        <f t="shared" si="13"/>
        <v>43</v>
      </c>
      <c r="BD66">
        <f>BC66/16</f>
        <v>2.6875</v>
      </c>
      <c r="BE66" s="10">
        <v>9.3113604851746494</v>
      </c>
      <c r="BF66" s="6">
        <v>27</v>
      </c>
      <c r="BG66" s="6">
        <v>28.55115</v>
      </c>
      <c r="BH66" s="6">
        <v>0.60567099999999996</v>
      </c>
      <c r="BI66" s="6">
        <v>0.66666700000000001</v>
      </c>
      <c r="BJ66" s="6"/>
      <c r="BK66" s="6" t="s">
        <v>67</v>
      </c>
      <c r="BL66" s="6" t="s">
        <v>68</v>
      </c>
      <c r="BM66" s="6" t="s">
        <v>69</v>
      </c>
      <c r="BN66" s="6" t="s">
        <v>70</v>
      </c>
    </row>
    <row r="67" spans="1:80">
      <c r="A67" s="1" t="s">
        <v>177</v>
      </c>
      <c r="B67" s="1">
        <v>2020</v>
      </c>
      <c r="C67" s="1" t="s">
        <v>72</v>
      </c>
      <c r="D67" s="1">
        <v>21507782</v>
      </c>
      <c r="E67" s="1">
        <v>9372815</v>
      </c>
      <c r="F67" s="1">
        <v>26854214</v>
      </c>
      <c r="G67" s="1">
        <v>3078558</v>
      </c>
      <c r="H67" s="2">
        <f t="shared" ref="H67:H130" si="15">SUM(F67:G67)</f>
        <v>29932772</v>
      </c>
      <c r="I67" s="2">
        <f>H67+E67</f>
        <v>39305587</v>
      </c>
      <c r="J67" s="1">
        <v>35991007</v>
      </c>
      <c r="K67" s="2">
        <f t="shared" ref="K67:K130" si="16">SUM(D67:G67)</f>
        <v>60813369</v>
      </c>
      <c r="L67" s="1">
        <v>96804376</v>
      </c>
      <c r="M67" s="1">
        <v>17819198</v>
      </c>
      <c r="N67" s="1">
        <v>14691090</v>
      </c>
      <c r="O67" s="4">
        <f t="shared" ref="O67:O130" si="17">SUM(M67:N67)</f>
        <v>32510288</v>
      </c>
      <c r="P67" s="1">
        <v>13006119</v>
      </c>
      <c r="Q67" s="4">
        <f t="shared" ref="Q67:Q130" si="18">SUM(O67:P67)</f>
        <v>45516407</v>
      </c>
      <c r="R67" s="1">
        <v>17770690</v>
      </c>
      <c r="S67" s="1">
        <v>7025458</v>
      </c>
      <c r="T67" s="4">
        <f t="shared" ref="T67:T130" si="19">SUM(R67:S67)</f>
        <v>24796148</v>
      </c>
      <c r="U67" s="1">
        <v>70312555</v>
      </c>
      <c r="V67" s="1">
        <v>2020</v>
      </c>
      <c r="W67" s="8">
        <v>2808368</v>
      </c>
      <c r="X67" s="1">
        <v>0.25</v>
      </c>
      <c r="Y67" s="1">
        <v>0</v>
      </c>
      <c r="Z67" s="1">
        <v>0</v>
      </c>
      <c r="AA67" s="1">
        <v>198200000</v>
      </c>
      <c r="AB67" s="1">
        <v>0.10851554994954592</v>
      </c>
      <c r="AC67" s="1">
        <v>4.7289682139253282E-2</v>
      </c>
      <c r="AD67" s="1">
        <v>0.13549048435923311</v>
      </c>
      <c r="AE67" s="1">
        <v>1.5532583249243189E-2</v>
      </c>
      <c r="AF67" s="2">
        <f t="shared" ref="AF67:AF130" si="20">SUM(AD67:AE67)</f>
        <v>0.15102306760847631</v>
      </c>
      <c r="AG67" s="2">
        <f>AF67+AC67</f>
        <v>0.19831274974772958</v>
      </c>
      <c r="AH67" s="1">
        <v>0.18158933905146316</v>
      </c>
      <c r="AI67" s="2">
        <f t="shared" ref="AI67:AI130" si="21">SUM(AB67:AE67)</f>
        <v>0.30682829969727549</v>
      </c>
      <c r="AJ67" s="1">
        <v>8.9905136226034313E-2</v>
      </c>
      <c r="AK67" s="1">
        <v>7.4122552976791115E-2</v>
      </c>
      <c r="AL67" s="4">
        <f t="shared" ref="AL67:AL130" si="22">SUM(AJ67:AK67)</f>
        <v>0.16402768920282543</v>
      </c>
      <c r="AM67" s="1">
        <v>6.5621185671039348E-2</v>
      </c>
      <c r="AN67" s="4">
        <f t="shared" ref="AN67:AN130" si="23">SUM(AL67:AM67)</f>
        <v>0.22964887487386476</v>
      </c>
      <c r="AO67" s="1">
        <v>8.9660393541876895E-2</v>
      </c>
      <c r="AP67" s="1">
        <v>3.5446306760847632E-2</v>
      </c>
      <c r="AQ67" s="4">
        <f t="shared" ref="AQ67:AQ130" si="24">SUM(AO67:AP67)</f>
        <v>0.12510670030272453</v>
      </c>
      <c r="AR67" s="1">
        <v>0.35475557517658929</v>
      </c>
      <c r="AS67" s="1">
        <v>0.48841763874873867</v>
      </c>
      <c r="AT67" s="1">
        <v>0.15682678607467204</v>
      </c>
      <c r="AU67" s="1">
        <f t="shared" ref="AU67:AU130" si="25">W67/AA67</f>
        <v>1.4169364278506558E-2</v>
      </c>
      <c r="AV67" s="1">
        <v>4</v>
      </c>
      <c r="AW67">
        <v>396</v>
      </c>
      <c r="AX67">
        <v>414</v>
      </c>
      <c r="AY67" s="6">
        <v>16</v>
      </c>
      <c r="AZ67" s="6">
        <v>19</v>
      </c>
      <c r="BA67" s="11">
        <f t="shared" ref="BA67:BA130" si="26">AW67/16</f>
        <v>24.75</v>
      </c>
      <c r="BB67">
        <f t="shared" ref="BB67:BB130" si="27">AX67/16</f>
        <v>25.875</v>
      </c>
      <c r="BC67">
        <f t="shared" ref="BC67:BC130" si="28">AW67 - AX67</f>
        <v>-18</v>
      </c>
      <c r="BD67">
        <f t="shared" ref="BD67:BD130" si="29">BC67/16</f>
        <v>-1.125</v>
      </c>
      <c r="BE67" s="10">
        <v>7.5397211922483498</v>
      </c>
      <c r="BF67" s="6">
        <v>26.678570000000001</v>
      </c>
      <c r="BG67" s="6">
        <v>28.816600000000001</v>
      </c>
      <c r="BH67" s="6">
        <v>0.60610600000000003</v>
      </c>
      <c r="BI67" s="6">
        <v>0.69642899999999996</v>
      </c>
      <c r="BJ67" s="6"/>
      <c r="BK67" s="6" t="s">
        <v>67</v>
      </c>
      <c r="BL67" s="6" t="s">
        <v>68</v>
      </c>
      <c r="BM67" s="6" t="s">
        <v>69</v>
      </c>
      <c r="BN67" s="6" t="s">
        <v>70</v>
      </c>
    </row>
    <row r="68" spans="1:80">
      <c r="A68" s="1" t="s">
        <v>178</v>
      </c>
      <c r="B68" s="1">
        <v>2020</v>
      </c>
      <c r="C68" s="1" t="s">
        <v>77</v>
      </c>
      <c r="D68" s="1">
        <v>5966788</v>
      </c>
      <c r="E68" s="1">
        <v>8155745</v>
      </c>
      <c r="F68" s="1">
        <v>12794229</v>
      </c>
      <c r="G68" s="1">
        <v>8389562</v>
      </c>
      <c r="H68" s="2">
        <f t="shared" si="15"/>
        <v>21183791</v>
      </c>
      <c r="I68" s="2">
        <f>H68+E68</f>
        <v>29339536</v>
      </c>
      <c r="J68" s="1">
        <v>21116613</v>
      </c>
      <c r="K68" s="2">
        <f t="shared" si="16"/>
        <v>35306324</v>
      </c>
      <c r="L68" s="1">
        <v>56422937</v>
      </c>
      <c r="M68" s="1">
        <v>27706314</v>
      </c>
      <c r="N68" s="1">
        <v>25887415</v>
      </c>
      <c r="O68" s="4">
        <f t="shared" si="17"/>
        <v>53593729</v>
      </c>
      <c r="P68" s="1">
        <v>7122223</v>
      </c>
      <c r="Q68" s="4">
        <f t="shared" si="18"/>
        <v>60715952</v>
      </c>
      <c r="R68" s="1">
        <v>6137220</v>
      </c>
      <c r="S68" s="1">
        <v>36177351</v>
      </c>
      <c r="T68" s="4">
        <f t="shared" si="19"/>
        <v>42314571</v>
      </c>
      <c r="U68" s="1">
        <v>103030523</v>
      </c>
      <c r="V68" s="1">
        <v>2020</v>
      </c>
      <c r="W68" s="8">
        <v>32766124</v>
      </c>
      <c r="X68" s="1">
        <v>0.68799999999999994</v>
      </c>
      <c r="Y68" s="1">
        <v>1</v>
      </c>
      <c r="Z68" s="1">
        <v>0</v>
      </c>
      <c r="AA68" s="1">
        <v>198200000</v>
      </c>
      <c r="AB68" s="1">
        <v>3.0104883955600403E-2</v>
      </c>
      <c r="AC68" s="1">
        <v>4.1149066599394553E-2</v>
      </c>
      <c r="AD68" s="1">
        <v>6.4552114026236132E-2</v>
      </c>
      <c r="AE68" s="1">
        <v>4.232876892028254E-2</v>
      </c>
      <c r="AF68" s="2">
        <f t="shared" si="20"/>
        <v>0.10688088294651868</v>
      </c>
      <c r="AG68" s="2">
        <f>AF68+AC68</f>
        <v>0.14802994954591323</v>
      </c>
      <c r="AH68" s="1">
        <v>0.10654194248234107</v>
      </c>
      <c r="AI68" s="2">
        <f t="shared" si="21"/>
        <v>0.1781348335015136</v>
      </c>
      <c r="AJ68" s="1">
        <v>0.1397896770938446</v>
      </c>
      <c r="AK68" s="1">
        <v>0.13061258829465186</v>
      </c>
      <c r="AL68" s="4">
        <f t="shared" si="22"/>
        <v>0.27040226538849643</v>
      </c>
      <c r="AM68" s="1">
        <v>3.593452573158426E-2</v>
      </c>
      <c r="AN68" s="4">
        <f t="shared" si="23"/>
        <v>0.30633679112008072</v>
      </c>
      <c r="AO68" s="1">
        <v>3.0964783047426843E-2</v>
      </c>
      <c r="AP68" s="1">
        <v>0.18252952068617559</v>
      </c>
      <c r="AQ68" s="4">
        <f t="shared" si="24"/>
        <v>0.21349430373360243</v>
      </c>
      <c r="AR68" s="1">
        <v>0.51983109485368317</v>
      </c>
      <c r="AS68" s="1">
        <v>0.28467677598385471</v>
      </c>
      <c r="AT68" s="1">
        <v>0.19549212916246206</v>
      </c>
      <c r="AU68" s="1">
        <f t="shared" si="25"/>
        <v>0.16531848637739657</v>
      </c>
      <c r="AV68" s="1">
        <v>11</v>
      </c>
      <c r="AW68">
        <v>468</v>
      </c>
      <c r="AX68">
        <v>303</v>
      </c>
      <c r="AY68" s="6">
        <v>7</v>
      </c>
      <c r="AZ68" s="6">
        <v>2</v>
      </c>
      <c r="BA68" s="11">
        <f t="shared" si="26"/>
        <v>29.25</v>
      </c>
      <c r="BB68">
        <f t="shared" si="27"/>
        <v>18.9375</v>
      </c>
      <c r="BC68">
        <f t="shared" si="28"/>
        <v>165</v>
      </c>
      <c r="BD68">
        <f t="shared" si="29"/>
        <v>10.3125</v>
      </c>
      <c r="BE68" s="10">
        <v>12.8546390710273</v>
      </c>
      <c r="BF68" s="6">
        <v>26.4697</v>
      </c>
      <c r="BG68" s="6">
        <v>27.636510000000001</v>
      </c>
      <c r="BH68" s="6">
        <v>0.60428999999999999</v>
      </c>
      <c r="BI68" s="6">
        <v>0.63636400000000004</v>
      </c>
      <c r="BJ68" s="6"/>
      <c r="BK68" s="6" t="s">
        <v>73</v>
      </c>
      <c r="BL68" s="6" t="s">
        <v>68</v>
      </c>
      <c r="BM68" s="6" t="s">
        <v>99</v>
      </c>
      <c r="BN68" s="6" t="s">
        <v>93</v>
      </c>
    </row>
    <row r="69" spans="1:80">
      <c r="A69" s="1" t="s">
        <v>179</v>
      </c>
      <c r="B69" s="1">
        <v>2020</v>
      </c>
      <c r="C69" s="1" t="s">
        <v>79</v>
      </c>
      <c r="D69" s="1">
        <v>8756449</v>
      </c>
      <c r="E69" s="1">
        <v>5465493</v>
      </c>
      <c r="F69" s="1">
        <v>34088188</v>
      </c>
      <c r="G69" s="1">
        <v>10368680</v>
      </c>
      <c r="H69" s="2">
        <f t="shared" si="15"/>
        <v>44456868</v>
      </c>
      <c r="I69" s="2">
        <f>H69+E69</f>
        <v>49922361</v>
      </c>
      <c r="J69" s="1">
        <v>38644130</v>
      </c>
      <c r="K69" s="2">
        <f t="shared" si="16"/>
        <v>58678810</v>
      </c>
      <c r="L69" s="1">
        <v>97322940</v>
      </c>
      <c r="M69" s="1">
        <v>21223086</v>
      </c>
      <c r="N69" s="1">
        <v>31426602</v>
      </c>
      <c r="O69" s="4">
        <f t="shared" si="17"/>
        <v>52649688</v>
      </c>
      <c r="P69" s="1">
        <v>16731863</v>
      </c>
      <c r="Q69" s="4">
        <f t="shared" si="18"/>
        <v>69381551</v>
      </c>
      <c r="R69" s="1">
        <v>16659474</v>
      </c>
      <c r="S69" s="1">
        <v>20736847</v>
      </c>
      <c r="T69" s="4">
        <f t="shared" si="19"/>
        <v>37396321</v>
      </c>
      <c r="U69" s="1">
        <v>106777872</v>
      </c>
      <c r="V69" s="1">
        <v>2020</v>
      </c>
      <c r="W69" s="8">
        <v>5333642</v>
      </c>
      <c r="X69" s="1">
        <v>0.81299999999999994</v>
      </c>
      <c r="Y69" s="1">
        <v>1</v>
      </c>
      <c r="Z69" s="1">
        <v>0</v>
      </c>
      <c r="AA69" s="1">
        <v>198200000</v>
      </c>
      <c r="AB69" s="1">
        <v>4.417986377396569E-2</v>
      </c>
      <c r="AC69" s="1">
        <v>2.7575645812310798E-2</v>
      </c>
      <c r="AD69" s="1">
        <v>0.17198883955600403</v>
      </c>
      <c r="AE69" s="1">
        <v>5.2314228052472253E-2</v>
      </c>
      <c r="AF69" s="2">
        <f t="shared" si="20"/>
        <v>0.22430306760847629</v>
      </c>
      <c r="AG69" s="2">
        <f>AF69+AC69</f>
        <v>0.2518787134207871</v>
      </c>
      <c r="AH69" s="1">
        <v>0.19497542885973765</v>
      </c>
      <c r="AI69" s="2">
        <f t="shared" si="21"/>
        <v>0.29605857719475276</v>
      </c>
      <c r="AJ69" s="1">
        <v>0.10707914228052472</v>
      </c>
      <c r="AK69" s="1">
        <v>0.15856005045408678</v>
      </c>
      <c r="AL69" s="4">
        <f t="shared" si="22"/>
        <v>0.26563919273461151</v>
      </c>
      <c r="AM69" s="1">
        <v>8.4419086781029259E-2</v>
      </c>
      <c r="AN69" s="4">
        <f t="shared" si="23"/>
        <v>0.35005827951564078</v>
      </c>
      <c r="AO69" s="1">
        <v>8.4053854692230076E-2</v>
      </c>
      <c r="AP69" s="1">
        <v>0.10462586781029264</v>
      </c>
      <c r="AQ69" s="4">
        <f t="shared" si="24"/>
        <v>0.18867972250252271</v>
      </c>
      <c r="AR69" s="1">
        <v>0.53873800201816346</v>
      </c>
      <c r="AS69" s="1">
        <v>0.49103400605449044</v>
      </c>
      <c r="AT69" s="1">
        <v>-2.977200807265401E-2</v>
      </c>
      <c r="AU69" s="1">
        <f t="shared" si="25"/>
        <v>2.6910403632694247E-2</v>
      </c>
      <c r="AV69" s="1">
        <v>13</v>
      </c>
      <c r="AW69">
        <v>501</v>
      </c>
      <c r="AX69">
        <v>375</v>
      </c>
      <c r="AY69" s="6">
        <v>2</v>
      </c>
      <c r="AZ69" s="6">
        <v>16</v>
      </c>
      <c r="BA69" s="11">
        <f t="shared" si="26"/>
        <v>31.3125</v>
      </c>
      <c r="BB69">
        <f t="shared" si="27"/>
        <v>23.4375</v>
      </c>
      <c r="BC69">
        <f t="shared" si="28"/>
        <v>126</v>
      </c>
      <c r="BD69">
        <f t="shared" si="29"/>
        <v>7.875</v>
      </c>
      <c r="BE69" s="10">
        <v>11.7219516542383</v>
      </c>
      <c r="BF69" s="6">
        <v>26.421050000000001</v>
      </c>
      <c r="BG69" s="6">
        <v>28.14415</v>
      </c>
      <c r="BH69" s="6">
        <v>0.52685499999999996</v>
      </c>
      <c r="BI69" s="6">
        <v>0.59649099999999999</v>
      </c>
      <c r="BJ69" s="6"/>
      <c r="BK69" s="6" t="s">
        <v>80</v>
      </c>
      <c r="BL69" s="6" t="s">
        <v>74</v>
      </c>
      <c r="BM69" s="6" t="s">
        <v>81</v>
      </c>
      <c r="BN69" s="6" t="s">
        <v>75</v>
      </c>
    </row>
    <row r="70" spans="1:80">
      <c r="A70" s="1" t="s">
        <v>180</v>
      </c>
      <c r="B70" s="1">
        <v>2020</v>
      </c>
      <c r="C70" s="1" t="s">
        <v>83</v>
      </c>
      <c r="D70" s="1">
        <v>15601427</v>
      </c>
      <c r="E70" s="1">
        <v>12031841</v>
      </c>
      <c r="F70" s="1">
        <v>16714487</v>
      </c>
      <c r="G70" s="1">
        <v>2979798</v>
      </c>
      <c r="H70" s="2">
        <f t="shared" si="15"/>
        <v>19694285</v>
      </c>
      <c r="I70" s="2">
        <f>H70+E70</f>
        <v>31726126</v>
      </c>
      <c r="J70" s="1">
        <v>35976093</v>
      </c>
      <c r="K70" s="2">
        <f t="shared" si="16"/>
        <v>47327553</v>
      </c>
      <c r="L70" s="1">
        <v>83303646</v>
      </c>
      <c r="M70" s="1">
        <v>26270183</v>
      </c>
      <c r="N70" s="1">
        <v>11266370</v>
      </c>
      <c r="O70" s="4">
        <f t="shared" si="17"/>
        <v>37536553</v>
      </c>
      <c r="P70" s="1">
        <v>12158932</v>
      </c>
      <c r="Q70" s="4">
        <f t="shared" si="18"/>
        <v>49695485</v>
      </c>
      <c r="R70" s="1">
        <v>9916654</v>
      </c>
      <c r="S70" s="1">
        <v>4327671</v>
      </c>
      <c r="T70" s="4">
        <f t="shared" si="19"/>
        <v>14244325</v>
      </c>
      <c r="U70" s="1">
        <v>63939810</v>
      </c>
      <c r="V70" s="1">
        <v>2020</v>
      </c>
      <c r="W70" s="8">
        <v>30555813</v>
      </c>
      <c r="X70" s="1">
        <v>0.313</v>
      </c>
      <c r="Y70" s="1">
        <v>0</v>
      </c>
      <c r="Z70" s="1">
        <v>0</v>
      </c>
      <c r="AA70" s="1">
        <v>198200000</v>
      </c>
      <c r="AB70" s="1">
        <v>7.8715575176589309E-2</v>
      </c>
      <c r="AC70" s="1">
        <v>6.0705554994954593E-2</v>
      </c>
      <c r="AD70" s="1">
        <v>8.4331417759838545E-2</v>
      </c>
      <c r="AE70" s="1">
        <v>1.5034298688193743E-2</v>
      </c>
      <c r="AF70" s="2">
        <f t="shared" si="20"/>
        <v>9.9365716448032285E-2</v>
      </c>
      <c r="AG70" s="2">
        <f>AF70+AC70</f>
        <v>0.16007127144298688</v>
      </c>
      <c r="AH70" s="1">
        <v>0.18151409182643793</v>
      </c>
      <c r="AI70" s="2">
        <f t="shared" si="21"/>
        <v>0.23878684661957619</v>
      </c>
      <c r="AJ70" s="1">
        <v>0.13254380928355197</v>
      </c>
      <c r="AK70" s="1">
        <v>5.6843440968718469E-2</v>
      </c>
      <c r="AL70" s="4">
        <f t="shared" si="22"/>
        <v>0.18938725025227043</v>
      </c>
      <c r="AM70" s="1">
        <v>6.1346781029263373E-2</v>
      </c>
      <c r="AN70" s="4">
        <f t="shared" si="23"/>
        <v>0.25073403128153382</v>
      </c>
      <c r="AO70" s="1">
        <v>5.0033572149344098E-2</v>
      </c>
      <c r="AP70" s="1">
        <v>2.1834868819374371E-2</v>
      </c>
      <c r="AQ70" s="4">
        <f t="shared" si="24"/>
        <v>7.1868440968718472E-2</v>
      </c>
      <c r="AR70" s="1">
        <v>0.32260247225025229</v>
      </c>
      <c r="AS70" s="1">
        <v>0.42030093844601413</v>
      </c>
      <c r="AT70" s="1">
        <v>0.25709658930373358</v>
      </c>
      <c r="AU70" s="1">
        <f t="shared" si="25"/>
        <v>0.15416656407669022</v>
      </c>
      <c r="AV70" s="1">
        <v>5</v>
      </c>
      <c r="AW70">
        <v>350</v>
      </c>
      <c r="AX70">
        <v>402</v>
      </c>
      <c r="AY70" s="6">
        <v>24</v>
      </c>
      <c r="AZ70" s="6">
        <v>18</v>
      </c>
      <c r="BA70" s="11">
        <f t="shared" si="26"/>
        <v>21.875</v>
      </c>
      <c r="BB70">
        <f t="shared" si="27"/>
        <v>25.125</v>
      </c>
      <c r="BC70">
        <f t="shared" si="28"/>
        <v>-52</v>
      </c>
      <c r="BD70">
        <f t="shared" si="29"/>
        <v>-3.25</v>
      </c>
      <c r="BE70" s="10">
        <v>6.5522501109451703</v>
      </c>
      <c r="BF70" s="6">
        <v>25.87097</v>
      </c>
      <c r="BG70" s="6">
        <v>27.522030000000001</v>
      </c>
      <c r="BH70" s="6">
        <v>0.60498300000000005</v>
      </c>
      <c r="BI70" s="6">
        <v>0.483871</v>
      </c>
      <c r="BJ70" s="6"/>
      <c r="BK70" s="6" t="s">
        <v>73</v>
      </c>
      <c r="BL70" s="6" t="s">
        <v>68</v>
      </c>
      <c r="BM70" s="6" t="s">
        <v>99</v>
      </c>
      <c r="BN70" s="6" t="s">
        <v>93</v>
      </c>
    </row>
    <row r="71" spans="1:80">
      <c r="A71" s="1" t="s">
        <v>181</v>
      </c>
      <c r="B71" s="1">
        <v>2020</v>
      </c>
      <c r="C71" s="1" t="s">
        <v>85</v>
      </c>
      <c r="D71" s="1">
        <v>16294775</v>
      </c>
      <c r="E71" s="1">
        <v>5188323</v>
      </c>
      <c r="F71" s="1">
        <v>25075558</v>
      </c>
      <c r="G71" s="1">
        <v>10102779</v>
      </c>
      <c r="H71" s="2">
        <f t="shared" si="15"/>
        <v>35178337</v>
      </c>
      <c r="I71" s="2">
        <f>H71+E71</f>
        <v>40366660</v>
      </c>
      <c r="J71" s="1">
        <v>29765996</v>
      </c>
      <c r="K71" s="2">
        <f t="shared" si="16"/>
        <v>56661435</v>
      </c>
      <c r="L71" s="1">
        <v>86427431</v>
      </c>
      <c r="M71" s="1">
        <v>23369611</v>
      </c>
      <c r="N71" s="1">
        <v>34953918</v>
      </c>
      <c r="O71" s="4">
        <f t="shared" si="17"/>
        <v>58323529</v>
      </c>
      <c r="P71" s="1">
        <v>11570430</v>
      </c>
      <c r="Q71" s="4">
        <f t="shared" si="18"/>
        <v>69893959</v>
      </c>
      <c r="R71" s="1">
        <v>7673452</v>
      </c>
      <c r="S71" s="1">
        <v>22163187</v>
      </c>
      <c r="T71" s="4">
        <f t="shared" si="19"/>
        <v>29836639</v>
      </c>
      <c r="U71" s="1">
        <v>99730598</v>
      </c>
      <c r="V71" s="1">
        <v>2020</v>
      </c>
      <c r="W71" s="8">
        <v>23387944</v>
      </c>
      <c r="X71" s="1">
        <v>0.5</v>
      </c>
      <c r="Y71" s="1">
        <v>1</v>
      </c>
      <c r="Z71" s="1">
        <v>0</v>
      </c>
      <c r="AA71" s="1">
        <v>198200000</v>
      </c>
      <c r="AB71" s="1">
        <v>8.221379919273461E-2</v>
      </c>
      <c r="AC71" s="1">
        <v>2.6177209889001008E-2</v>
      </c>
      <c r="AD71" s="1">
        <v>0.12651643794147327</v>
      </c>
      <c r="AE71" s="1">
        <v>5.0972648839556003E-2</v>
      </c>
      <c r="AF71" s="2">
        <f t="shared" si="20"/>
        <v>0.17748908678102926</v>
      </c>
      <c r="AG71" s="2">
        <f>AF71+AC71</f>
        <v>0.20366629667003028</v>
      </c>
      <c r="AH71" s="1">
        <v>0.150181614530777</v>
      </c>
      <c r="AI71" s="2">
        <f t="shared" si="21"/>
        <v>0.28588009586276486</v>
      </c>
      <c r="AJ71" s="1">
        <v>0.1179092381432896</v>
      </c>
      <c r="AK71" s="1">
        <v>0.17635680121089808</v>
      </c>
      <c r="AL71" s="4">
        <f t="shared" si="22"/>
        <v>0.29426603935418771</v>
      </c>
      <c r="AM71" s="1">
        <v>5.8377547931382445E-2</v>
      </c>
      <c r="AN71" s="4">
        <f t="shared" si="23"/>
        <v>0.35264358728557016</v>
      </c>
      <c r="AO71" s="1">
        <v>3.871570131180626E-2</v>
      </c>
      <c r="AP71" s="1">
        <v>0.11182233602421796</v>
      </c>
      <c r="AQ71" s="4">
        <f t="shared" si="24"/>
        <v>0.15053803733602422</v>
      </c>
      <c r="AR71" s="1">
        <v>0.50318162462159433</v>
      </c>
      <c r="AS71" s="1">
        <v>0.43606171039354186</v>
      </c>
      <c r="AT71" s="1">
        <v>6.0756664984863873E-2</v>
      </c>
      <c r="AU71" s="1">
        <f t="shared" si="25"/>
        <v>0.11800173562058527</v>
      </c>
      <c r="AV71" s="1">
        <v>8</v>
      </c>
      <c r="AW71">
        <v>372</v>
      </c>
      <c r="AX71">
        <v>370</v>
      </c>
      <c r="AY71" s="6">
        <v>22</v>
      </c>
      <c r="AZ71" s="6">
        <v>14</v>
      </c>
      <c r="BA71" s="11">
        <f t="shared" si="26"/>
        <v>23.25</v>
      </c>
      <c r="BB71">
        <f t="shared" si="27"/>
        <v>23.125</v>
      </c>
      <c r="BC71">
        <f t="shared" si="28"/>
        <v>2</v>
      </c>
      <c r="BD71">
        <f t="shared" si="29"/>
        <v>0.125</v>
      </c>
      <c r="BE71" s="10">
        <v>8.1205865341913999</v>
      </c>
      <c r="BF71" s="6">
        <v>26.854839999999999</v>
      </c>
      <c r="BG71" s="6">
        <v>28.285609999999998</v>
      </c>
      <c r="BH71" s="6">
        <v>0.61989000000000005</v>
      </c>
      <c r="BI71" s="6">
        <v>0.58064499999999997</v>
      </c>
      <c r="BJ71" s="6"/>
      <c r="BK71" s="6" t="s">
        <v>80</v>
      </c>
      <c r="BL71" s="6" t="s">
        <v>68</v>
      </c>
      <c r="BM71" s="6" t="s">
        <v>92</v>
      </c>
      <c r="BN71" s="6" t="s">
        <v>70</v>
      </c>
    </row>
    <row r="72" spans="1:80">
      <c r="A72" s="1" t="s">
        <v>182</v>
      </c>
      <c r="B72" s="1">
        <v>2020</v>
      </c>
      <c r="C72" s="1" t="s">
        <v>87</v>
      </c>
      <c r="D72" s="1">
        <v>7882344</v>
      </c>
      <c r="E72" s="1">
        <v>10305900</v>
      </c>
      <c r="F72" s="1">
        <v>37184947</v>
      </c>
      <c r="G72" s="1">
        <v>9965411</v>
      </c>
      <c r="H72" s="2">
        <f t="shared" si="15"/>
        <v>47150358</v>
      </c>
      <c r="I72" s="2">
        <f>H72+E72</f>
        <v>57456258</v>
      </c>
      <c r="J72" s="1">
        <v>27247745</v>
      </c>
      <c r="K72" s="2">
        <f t="shared" si="16"/>
        <v>65338602</v>
      </c>
      <c r="L72" s="1">
        <v>92586347</v>
      </c>
      <c r="M72" s="1">
        <v>29271973</v>
      </c>
      <c r="N72" s="1">
        <v>4182486</v>
      </c>
      <c r="O72" s="4">
        <f t="shared" si="17"/>
        <v>33454459</v>
      </c>
      <c r="P72" s="1">
        <v>5961669</v>
      </c>
      <c r="Q72" s="4">
        <f t="shared" si="18"/>
        <v>39416128</v>
      </c>
      <c r="R72" s="1">
        <v>13144334</v>
      </c>
      <c r="S72" s="1">
        <v>27676010</v>
      </c>
      <c r="T72" s="4">
        <f t="shared" si="19"/>
        <v>40820344</v>
      </c>
      <c r="U72" s="1">
        <v>80236472</v>
      </c>
      <c r="V72" s="1">
        <v>2020</v>
      </c>
      <c r="W72" s="8">
        <v>62583496</v>
      </c>
      <c r="X72" s="1">
        <v>0.28100000000000003</v>
      </c>
      <c r="Y72" s="1">
        <v>0</v>
      </c>
      <c r="Z72" s="1">
        <v>0</v>
      </c>
      <c r="AA72" s="1">
        <v>198200000</v>
      </c>
      <c r="AB72" s="1">
        <v>3.9769646821392536E-2</v>
      </c>
      <c r="AC72" s="1">
        <v>5.1997477295660947E-2</v>
      </c>
      <c r="AD72" s="1">
        <v>0.18761325428859738</v>
      </c>
      <c r="AE72" s="1">
        <v>5.0279571140262359E-2</v>
      </c>
      <c r="AF72" s="2">
        <f t="shared" si="20"/>
        <v>0.23789282542885973</v>
      </c>
      <c r="AG72" s="2">
        <f>AF72+AC72</f>
        <v>0.28989030272452065</v>
      </c>
      <c r="AH72" s="1">
        <v>0.13747600908173563</v>
      </c>
      <c r="AI72" s="2">
        <f t="shared" si="21"/>
        <v>0.32965994954591327</v>
      </c>
      <c r="AJ72" s="1">
        <v>0.14768906659939454</v>
      </c>
      <c r="AK72" s="1">
        <v>2.1102351160443997E-2</v>
      </c>
      <c r="AL72" s="4">
        <f t="shared" si="22"/>
        <v>0.16879141775983852</v>
      </c>
      <c r="AM72" s="1">
        <v>3.0079056508577194E-2</v>
      </c>
      <c r="AN72" s="4">
        <f t="shared" si="23"/>
        <v>0.19887047426841573</v>
      </c>
      <c r="AO72" s="1">
        <v>6.6318536831483352E-2</v>
      </c>
      <c r="AP72" s="1">
        <v>0.13963678102926336</v>
      </c>
      <c r="AQ72" s="4">
        <f t="shared" si="24"/>
        <v>0.20595531786074672</v>
      </c>
      <c r="AR72" s="1">
        <v>0.40482579212916248</v>
      </c>
      <c r="AS72" s="1">
        <v>0.46713595862764884</v>
      </c>
      <c r="AT72" s="1">
        <v>0.12803824924318863</v>
      </c>
      <c r="AU72" s="1">
        <f t="shared" si="25"/>
        <v>0.3157593138244198</v>
      </c>
      <c r="AV72" s="1">
        <v>4</v>
      </c>
      <c r="AW72">
        <v>311</v>
      </c>
      <c r="AX72">
        <v>424</v>
      </c>
      <c r="AY72" s="6">
        <v>29</v>
      </c>
      <c r="AZ72" s="6">
        <v>22</v>
      </c>
      <c r="BA72" s="11">
        <f t="shared" si="26"/>
        <v>19.4375</v>
      </c>
      <c r="BB72">
        <f t="shared" si="27"/>
        <v>26.5</v>
      </c>
      <c r="BC72">
        <f t="shared" si="28"/>
        <v>-113</v>
      </c>
      <c r="BD72">
        <f t="shared" si="29"/>
        <v>-7.0625</v>
      </c>
      <c r="BE72" s="10">
        <v>4.7806108180188698</v>
      </c>
      <c r="BF72" s="6">
        <v>26.140630000000002</v>
      </c>
      <c r="BG72" s="6">
        <v>27.615100000000002</v>
      </c>
      <c r="BH72" s="6">
        <v>0.57809900000000003</v>
      </c>
      <c r="BI72" s="6">
        <v>0.53125</v>
      </c>
      <c r="BJ72" s="6"/>
      <c r="BK72" s="6" t="s">
        <v>73</v>
      </c>
      <c r="BL72" s="6" t="s">
        <v>74</v>
      </c>
      <c r="BM72" s="6" t="s">
        <v>75</v>
      </c>
      <c r="BN72" s="6" t="s">
        <v>75</v>
      </c>
    </row>
    <row r="73" spans="1:80">
      <c r="A73" s="1" t="s">
        <v>183</v>
      </c>
      <c r="B73" s="1">
        <v>2020</v>
      </c>
      <c r="C73" s="1" t="s">
        <v>89</v>
      </c>
      <c r="D73" s="1">
        <v>11937673</v>
      </c>
      <c r="E73" s="1">
        <v>6893053</v>
      </c>
      <c r="F73" s="1">
        <v>33178607</v>
      </c>
      <c r="G73" s="1">
        <v>8176049</v>
      </c>
      <c r="H73" s="2">
        <f t="shared" si="15"/>
        <v>41354656</v>
      </c>
      <c r="I73" s="2">
        <f>H73+E73</f>
        <v>48247709</v>
      </c>
      <c r="J73" s="1">
        <v>40583203</v>
      </c>
      <c r="K73" s="2">
        <f t="shared" si="16"/>
        <v>60185382</v>
      </c>
      <c r="L73" s="1">
        <v>100768585</v>
      </c>
      <c r="M73" s="1">
        <v>17914080</v>
      </c>
      <c r="N73" s="1">
        <v>26132262</v>
      </c>
      <c r="O73" s="4">
        <f t="shared" si="17"/>
        <v>44046342</v>
      </c>
      <c r="P73" s="1">
        <v>6861412</v>
      </c>
      <c r="Q73" s="4">
        <f t="shared" si="18"/>
        <v>50907754</v>
      </c>
      <c r="R73" s="1">
        <v>9671857</v>
      </c>
      <c r="S73" s="1">
        <v>18075490</v>
      </c>
      <c r="T73" s="4">
        <f t="shared" si="19"/>
        <v>27747347</v>
      </c>
      <c r="U73" s="1">
        <v>78655101</v>
      </c>
      <c r="V73" s="1">
        <v>2020</v>
      </c>
      <c r="W73" s="8">
        <v>37636988</v>
      </c>
      <c r="X73" s="1">
        <v>0.68799999999999994</v>
      </c>
      <c r="Y73" s="1">
        <v>1</v>
      </c>
      <c r="Z73" s="1">
        <v>0</v>
      </c>
      <c r="AA73" s="1">
        <v>198200000</v>
      </c>
      <c r="AB73" s="1">
        <v>6.0230438950554993E-2</v>
      </c>
      <c r="AC73" s="1">
        <v>3.4778269424823413E-2</v>
      </c>
      <c r="AD73" s="1">
        <v>0.1673996316851665</v>
      </c>
      <c r="AE73" s="1">
        <v>4.125150857719475E-2</v>
      </c>
      <c r="AF73" s="2">
        <f t="shared" si="20"/>
        <v>0.20865114026236126</v>
      </c>
      <c r="AG73" s="2">
        <f>AF73+AC73</f>
        <v>0.24342940968718468</v>
      </c>
      <c r="AH73" s="1">
        <v>0.20475884460141272</v>
      </c>
      <c r="AI73" s="2">
        <f t="shared" si="21"/>
        <v>0.30365984863773965</v>
      </c>
      <c r="AJ73" s="1">
        <v>9.0383854692230065E-2</v>
      </c>
      <c r="AK73" s="1">
        <v>0.13184794147325934</v>
      </c>
      <c r="AL73" s="4">
        <f t="shared" si="22"/>
        <v>0.22223179616548941</v>
      </c>
      <c r="AM73" s="1">
        <v>3.4618627648839558E-2</v>
      </c>
      <c r="AN73" s="4">
        <f t="shared" si="23"/>
        <v>0.25685042381432899</v>
      </c>
      <c r="AO73" s="1">
        <v>4.8798471241170538E-2</v>
      </c>
      <c r="AP73" s="1">
        <v>9.1198234106962664E-2</v>
      </c>
      <c r="AQ73" s="4">
        <f t="shared" si="24"/>
        <v>0.13999670534813319</v>
      </c>
      <c r="AR73" s="1">
        <v>0.39684712916246218</v>
      </c>
      <c r="AS73" s="1">
        <v>0.50841869323915234</v>
      </c>
      <c r="AT73" s="1">
        <v>9.4734177598385427E-2</v>
      </c>
      <c r="AU73" s="1">
        <f t="shared" si="25"/>
        <v>0.18989398587285569</v>
      </c>
      <c r="AV73" s="1">
        <v>11</v>
      </c>
      <c r="AW73">
        <v>408</v>
      </c>
      <c r="AX73">
        <v>419</v>
      </c>
      <c r="AY73" s="6">
        <v>14</v>
      </c>
      <c r="AZ73" s="6">
        <v>21</v>
      </c>
      <c r="BA73" s="11">
        <f t="shared" si="26"/>
        <v>25.5</v>
      </c>
      <c r="BB73">
        <f t="shared" si="27"/>
        <v>26.1875</v>
      </c>
      <c r="BC73">
        <f t="shared" si="28"/>
        <v>-11</v>
      </c>
      <c r="BD73">
        <f t="shared" si="29"/>
        <v>-0.6875</v>
      </c>
      <c r="BE73" s="10">
        <v>7.7430240619284199</v>
      </c>
      <c r="BF73" s="6">
        <v>25.646149999999999</v>
      </c>
      <c r="BG73" s="6">
        <v>27.032530000000001</v>
      </c>
      <c r="BH73" s="6">
        <v>0.60754699999999995</v>
      </c>
      <c r="BI73" s="6">
        <v>0.49230800000000002</v>
      </c>
      <c r="BJ73" s="6"/>
      <c r="BK73" s="6" t="s">
        <v>73</v>
      </c>
      <c r="BL73" s="6" t="s">
        <v>68</v>
      </c>
      <c r="BM73" s="6" t="s">
        <v>99</v>
      </c>
      <c r="BN73" s="6" t="s">
        <v>93</v>
      </c>
    </row>
    <row r="74" spans="1:80">
      <c r="A74" s="1" t="s">
        <v>184</v>
      </c>
      <c r="B74" s="1">
        <v>2020</v>
      </c>
      <c r="C74" s="1" t="s">
        <v>91</v>
      </c>
      <c r="D74" s="1">
        <v>35728728</v>
      </c>
      <c r="E74" s="1">
        <v>12355915</v>
      </c>
      <c r="F74" s="1">
        <v>18148958</v>
      </c>
      <c r="G74" s="1">
        <v>6554264</v>
      </c>
      <c r="H74" s="2">
        <f t="shared" si="15"/>
        <v>24703222</v>
      </c>
      <c r="I74" s="2">
        <f>H74+E74</f>
        <v>37059137</v>
      </c>
      <c r="J74" s="1">
        <v>27902811</v>
      </c>
      <c r="K74" s="2">
        <f t="shared" si="16"/>
        <v>72787865</v>
      </c>
      <c r="L74" s="1">
        <v>100690676</v>
      </c>
      <c r="M74" s="1">
        <v>13356195</v>
      </c>
      <c r="N74" s="1">
        <v>14629219</v>
      </c>
      <c r="O74" s="4">
        <f t="shared" si="17"/>
        <v>27985414</v>
      </c>
      <c r="P74" s="1">
        <v>18552489</v>
      </c>
      <c r="Q74" s="4">
        <f t="shared" si="18"/>
        <v>46537903</v>
      </c>
      <c r="R74" s="1">
        <v>5243874</v>
      </c>
      <c r="S74" s="1">
        <v>9660756</v>
      </c>
      <c r="T74" s="4">
        <f t="shared" si="19"/>
        <v>14904630</v>
      </c>
      <c r="U74" s="1">
        <v>61442533</v>
      </c>
      <c r="V74" s="1">
        <v>2020</v>
      </c>
      <c r="W74" s="8">
        <v>56327624</v>
      </c>
      <c r="X74" s="1">
        <v>0.375</v>
      </c>
      <c r="Y74" s="1">
        <v>0</v>
      </c>
      <c r="Z74" s="1">
        <v>0</v>
      </c>
      <c r="AA74" s="1">
        <v>198200000</v>
      </c>
      <c r="AB74" s="1">
        <v>0.18026603430877902</v>
      </c>
      <c r="AC74" s="1">
        <v>6.2340640766902121E-2</v>
      </c>
      <c r="AD74" s="1">
        <v>9.1568910191725528E-2</v>
      </c>
      <c r="AE74" s="1">
        <v>3.3068940464177597E-2</v>
      </c>
      <c r="AF74" s="2">
        <f t="shared" si="20"/>
        <v>0.12463785065590313</v>
      </c>
      <c r="AG74" s="2">
        <f>AF74+AC74</f>
        <v>0.18697849142280526</v>
      </c>
      <c r="AH74" s="1">
        <v>0.1407810847628658</v>
      </c>
      <c r="AI74" s="2">
        <f t="shared" si="21"/>
        <v>0.36724452573158423</v>
      </c>
      <c r="AJ74" s="1">
        <v>6.7387462159434919E-2</v>
      </c>
      <c r="AK74" s="1">
        <v>7.3810388496468218E-2</v>
      </c>
      <c r="AL74" s="4">
        <f t="shared" si="22"/>
        <v>0.14119785065590312</v>
      </c>
      <c r="AM74" s="1">
        <v>9.3604889001009078E-2</v>
      </c>
      <c r="AN74" s="4">
        <f t="shared" si="23"/>
        <v>0.2348027396569122</v>
      </c>
      <c r="AO74" s="1">
        <v>2.6457487386478306E-2</v>
      </c>
      <c r="AP74" s="1">
        <v>4.8742462159434917E-2</v>
      </c>
      <c r="AQ74" s="4">
        <f t="shared" si="24"/>
        <v>7.5199949545913219E-2</v>
      </c>
      <c r="AR74" s="1">
        <v>0.31000268920282542</v>
      </c>
      <c r="AS74" s="1">
        <v>0.50802561049445005</v>
      </c>
      <c r="AT74" s="1">
        <v>0.18197170030272458</v>
      </c>
      <c r="AU74" s="1">
        <f t="shared" si="25"/>
        <v>0.28419588294651865</v>
      </c>
      <c r="AV74" s="1">
        <v>6</v>
      </c>
      <c r="AW74">
        <v>395</v>
      </c>
      <c r="AX74">
        <v>473</v>
      </c>
      <c r="AY74" s="6">
        <v>17</v>
      </c>
      <c r="AZ74" s="6">
        <v>28</v>
      </c>
      <c r="BA74" s="11">
        <f t="shared" si="26"/>
        <v>24.6875</v>
      </c>
      <c r="BB74">
        <f t="shared" si="27"/>
        <v>29.5625</v>
      </c>
      <c r="BC74">
        <f t="shared" si="28"/>
        <v>-78</v>
      </c>
      <c r="BD74">
        <f t="shared" si="29"/>
        <v>-4.875</v>
      </c>
      <c r="BE74" s="10">
        <v>5.7971251664191996</v>
      </c>
      <c r="BF74" s="6">
        <v>25.98462</v>
      </c>
      <c r="BG74" s="6">
        <v>27.14254</v>
      </c>
      <c r="BH74" s="6">
        <v>0.63003600000000004</v>
      </c>
      <c r="BI74" s="6">
        <v>0.55384599999999995</v>
      </c>
      <c r="BJ74" s="6"/>
      <c r="BK74" s="6" t="s">
        <v>73</v>
      </c>
      <c r="BL74" s="6" t="s">
        <v>96</v>
      </c>
      <c r="BM74" s="6" t="s">
        <v>93</v>
      </c>
      <c r="BN74" s="6" t="s">
        <v>93</v>
      </c>
    </row>
    <row r="75" spans="1:80">
      <c r="A75" s="1" t="s">
        <v>185</v>
      </c>
      <c r="B75" s="1">
        <v>2020</v>
      </c>
      <c r="C75" s="1" t="s">
        <v>95</v>
      </c>
      <c r="D75" s="1">
        <v>3938956</v>
      </c>
      <c r="E75" s="1">
        <v>9025620</v>
      </c>
      <c r="F75" s="1">
        <v>9316695</v>
      </c>
      <c r="G75" s="1">
        <v>7139192</v>
      </c>
      <c r="H75" s="2">
        <f t="shared" si="15"/>
        <v>16455887</v>
      </c>
      <c r="I75" s="2">
        <f>H75+E75</f>
        <v>25481507</v>
      </c>
      <c r="J75" s="1">
        <v>24536776</v>
      </c>
      <c r="K75" s="2">
        <f t="shared" si="16"/>
        <v>29420463</v>
      </c>
      <c r="L75" s="1">
        <v>53957239</v>
      </c>
      <c r="M75" s="1">
        <v>23618489</v>
      </c>
      <c r="N75" s="1">
        <v>36419854</v>
      </c>
      <c r="O75" s="4">
        <f t="shared" si="17"/>
        <v>60038343</v>
      </c>
      <c r="P75" s="1">
        <v>3752646</v>
      </c>
      <c r="Q75" s="4">
        <f t="shared" si="18"/>
        <v>63790989</v>
      </c>
      <c r="R75" s="1">
        <v>27037756</v>
      </c>
      <c r="S75" s="1">
        <v>20138402</v>
      </c>
      <c r="T75" s="4">
        <f t="shared" si="19"/>
        <v>47176158</v>
      </c>
      <c r="U75" s="1">
        <v>110967147</v>
      </c>
      <c r="V75" s="1">
        <v>2020</v>
      </c>
      <c r="W75" s="8">
        <v>67890159</v>
      </c>
      <c r="X75" s="1">
        <v>0.313</v>
      </c>
      <c r="Y75" s="1">
        <v>0</v>
      </c>
      <c r="Z75" s="1">
        <v>0</v>
      </c>
      <c r="AA75" s="1">
        <v>198200000</v>
      </c>
      <c r="AB75" s="1">
        <v>1.9873642785065589E-2</v>
      </c>
      <c r="AC75" s="1">
        <v>4.5537941473259333E-2</v>
      </c>
      <c r="AD75" s="1">
        <v>4.7006533804238144E-2</v>
      </c>
      <c r="AE75" s="1">
        <v>3.6020141271442985E-2</v>
      </c>
      <c r="AF75" s="2">
        <f t="shared" si="20"/>
        <v>8.3026675075681122E-2</v>
      </c>
      <c r="AG75" s="2">
        <f>AF75+AC75</f>
        <v>0.12856461654894047</v>
      </c>
      <c r="AH75" s="1">
        <v>0.12379806256306761</v>
      </c>
      <c r="AI75" s="2">
        <f t="shared" si="21"/>
        <v>0.14843825933400606</v>
      </c>
      <c r="AJ75" s="1">
        <v>0.11916492936427851</v>
      </c>
      <c r="AK75" s="1">
        <v>0.18375304742684156</v>
      </c>
      <c r="AL75" s="4">
        <f t="shared" si="22"/>
        <v>0.30291797679112009</v>
      </c>
      <c r="AM75" s="1">
        <v>1.8933632694248234E-2</v>
      </c>
      <c r="AN75" s="4">
        <f t="shared" si="23"/>
        <v>0.32185160948536834</v>
      </c>
      <c r="AO75" s="1">
        <v>0.13641652875882945</v>
      </c>
      <c r="AP75" s="1">
        <v>0.10160646821392533</v>
      </c>
      <c r="AQ75" s="4">
        <f t="shared" si="24"/>
        <v>0.23802299697275478</v>
      </c>
      <c r="AR75" s="1">
        <v>0.55987460645812315</v>
      </c>
      <c r="AS75" s="1">
        <v>0.27223632189707364</v>
      </c>
      <c r="AT75" s="1">
        <v>0.16788907164480316</v>
      </c>
      <c r="AU75" s="1">
        <f t="shared" si="25"/>
        <v>0.3425335973763875</v>
      </c>
      <c r="AV75" s="1">
        <v>5</v>
      </c>
      <c r="AW75">
        <v>323</v>
      </c>
      <c r="AX75">
        <v>446</v>
      </c>
      <c r="AY75" s="6">
        <v>28</v>
      </c>
      <c r="AZ75" s="6">
        <v>25</v>
      </c>
      <c r="BA75" s="11">
        <f t="shared" si="26"/>
        <v>20.1875</v>
      </c>
      <c r="BB75">
        <f t="shared" si="27"/>
        <v>27.875</v>
      </c>
      <c r="BC75">
        <f t="shared" si="28"/>
        <v>-123</v>
      </c>
      <c r="BD75">
        <f t="shared" si="29"/>
        <v>-7.6875</v>
      </c>
      <c r="BE75" s="10">
        <v>4.4901781470473399</v>
      </c>
      <c r="BF75" s="6">
        <v>25.75</v>
      </c>
      <c r="BG75" s="6">
        <v>28.057210000000001</v>
      </c>
      <c r="BH75" s="6">
        <v>0.64019199999999998</v>
      </c>
      <c r="BI75" s="6">
        <v>0.54411799999999999</v>
      </c>
      <c r="BJ75" s="6"/>
      <c r="BK75" s="6" t="s">
        <v>80</v>
      </c>
      <c r="BL75" s="6" t="s">
        <v>96</v>
      </c>
      <c r="BM75" s="6" t="s">
        <v>164</v>
      </c>
      <c r="BN75" s="6" t="s">
        <v>70</v>
      </c>
    </row>
    <row r="76" spans="1:80">
      <c r="A76" s="1" t="s">
        <v>186</v>
      </c>
      <c r="B76" s="1">
        <v>2020</v>
      </c>
      <c r="C76" s="1" t="s">
        <v>98</v>
      </c>
      <c r="D76" s="1">
        <v>23776471</v>
      </c>
      <c r="E76" s="1">
        <v>4561066</v>
      </c>
      <c r="F76" s="1">
        <v>17671718</v>
      </c>
      <c r="G76" s="1">
        <v>10449973</v>
      </c>
      <c r="H76" s="2">
        <f t="shared" si="15"/>
        <v>28121691</v>
      </c>
      <c r="I76" s="2">
        <f>H76+E76</f>
        <v>32682757</v>
      </c>
      <c r="J76" s="1">
        <v>22917842</v>
      </c>
      <c r="K76" s="2">
        <f t="shared" si="16"/>
        <v>56459228</v>
      </c>
      <c r="L76" s="1">
        <v>79377070</v>
      </c>
      <c r="M76" s="1">
        <v>8469068</v>
      </c>
      <c r="N76" s="1">
        <v>26497026</v>
      </c>
      <c r="O76" s="4">
        <f t="shared" si="17"/>
        <v>34966094</v>
      </c>
      <c r="P76" s="1">
        <v>16088641</v>
      </c>
      <c r="Q76" s="4">
        <f t="shared" si="18"/>
        <v>51054735</v>
      </c>
      <c r="R76" s="1">
        <v>8317073</v>
      </c>
      <c r="S76" s="1">
        <v>27875270</v>
      </c>
      <c r="T76" s="4">
        <f t="shared" si="19"/>
        <v>36192343</v>
      </c>
      <c r="U76" s="1">
        <v>87247078</v>
      </c>
      <c r="V76" s="1">
        <v>2020</v>
      </c>
      <c r="W76" s="8">
        <v>35530716</v>
      </c>
      <c r="X76" s="1">
        <v>0.313</v>
      </c>
      <c r="Y76" s="1">
        <v>0</v>
      </c>
      <c r="Z76" s="1">
        <v>0</v>
      </c>
      <c r="AA76" s="1">
        <v>198200000</v>
      </c>
      <c r="AB76" s="1">
        <v>0.11996201311806257</v>
      </c>
      <c r="AC76" s="1">
        <v>2.3012441977800203E-2</v>
      </c>
      <c r="AD76" s="1">
        <v>8.9161039354187691E-2</v>
      </c>
      <c r="AE76" s="1">
        <v>5.2724384460141271E-2</v>
      </c>
      <c r="AF76" s="2">
        <f t="shared" si="20"/>
        <v>0.14188542381432895</v>
      </c>
      <c r="AG76" s="2">
        <f>AF76+AC76</f>
        <v>0.16489786579212914</v>
      </c>
      <c r="AH76" s="1">
        <v>0.11562987891019172</v>
      </c>
      <c r="AI76" s="2">
        <f t="shared" si="21"/>
        <v>0.28485987891019171</v>
      </c>
      <c r="AJ76" s="1">
        <v>4.2729909182643792E-2</v>
      </c>
      <c r="AK76" s="1">
        <v>0.13368832492431887</v>
      </c>
      <c r="AL76" s="4">
        <f t="shared" si="22"/>
        <v>0.17641823410696267</v>
      </c>
      <c r="AM76" s="1">
        <v>8.1173768920282538E-2</v>
      </c>
      <c r="AN76" s="4">
        <f t="shared" si="23"/>
        <v>0.25759200302724522</v>
      </c>
      <c r="AO76" s="1">
        <v>4.1963032290615543E-2</v>
      </c>
      <c r="AP76" s="1">
        <v>0.14064212916246216</v>
      </c>
      <c r="AQ76" s="4">
        <f t="shared" si="24"/>
        <v>0.1826051614530777</v>
      </c>
      <c r="AR76" s="1">
        <v>0.44019716448032292</v>
      </c>
      <c r="AS76" s="1">
        <v>0.40048975782038343</v>
      </c>
      <c r="AT76" s="1">
        <v>0.1593130776992937</v>
      </c>
      <c r="AU76" s="1">
        <f t="shared" si="25"/>
        <v>0.17926698284561049</v>
      </c>
      <c r="AV76" s="1">
        <v>5</v>
      </c>
      <c r="AW76">
        <v>377</v>
      </c>
      <c r="AX76">
        <v>519</v>
      </c>
      <c r="AY76" s="6">
        <v>20</v>
      </c>
      <c r="AZ76" s="6">
        <v>32</v>
      </c>
      <c r="BA76" s="11">
        <f t="shared" si="26"/>
        <v>23.5625</v>
      </c>
      <c r="BB76">
        <f t="shared" si="27"/>
        <v>32.4375</v>
      </c>
      <c r="BC76">
        <f t="shared" si="28"/>
        <v>-142</v>
      </c>
      <c r="BD76">
        <f t="shared" si="29"/>
        <v>-8.875</v>
      </c>
      <c r="BE76" s="10">
        <v>3.9383560722014499</v>
      </c>
      <c r="BF76" s="6">
        <v>26.548390000000001</v>
      </c>
      <c r="BG76" s="6">
        <v>28.114439999999998</v>
      </c>
      <c r="BH76" s="6">
        <v>0.58687400000000001</v>
      </c>
      <c r="BI76" s="6">
        <v>0.56451600000000002</v>
      </c>
      <c r="BJ76" s="6"/>
      <c r="BK76" s="6" t="s">
        <v>80</v>
      </c>
      <c r="BL76" s="6" t="s">
        <v>74</v>
      </c>
      <c r="BM76" s="6" t="s">
        <v>81</v>
      </c>
      <c r="BN76" s="6" t="s">
        <v>75</v>
      </c>
    </row>
    <row r="77" spans="1:80">
      <c r="A77" s="1" t="s">
        <v>187</v>
      </c>
      <c r="B77" s="1">
        <v>2020</v>
      </c>
      <c r="C77" s="1" t="s">
        <v>101</v>
      </c>
      <c r="D77" s="1">
        <v>24645540</v>
      </c>
      <c r="E77" s="1">
        <v>7058628</v>
      </c>
      <c r="F77" s="1">
        <v>20521932</v>
      </c>
      <c r="G77" s="1">
        <v>5301804</v>
      </c>
      <c r="H77" s="2">
        <f>SUM(F77:G77)</f>
        <v>25823736</v>
      </c>
      <c r="I77" s="2">
        <f>H77+E77</f>
        <v>32882364</v>
      </c>
      <c r="J77" s="1">
        <v>47239400</v>
      </c>
      <c r="K77" s="2">
        <f>SUM(D77:G77)</f>
        <v>57527904</v>
      </c>
      <c r="L77" s="1">
        <v>104767304</v>
      </c>
      <c r="M77" s="1">
        <v>15375862</v>
      </c>
      <c r="N77" s="1">
        <v>35768583</v>
      </c>
      <c r="O77" s="4">
        <f>SUM(M77:N77)</f>
        <v>51144445</v>
      </c>
      <c r="P77" s="1">
        <v>8225930</v>
      </c>
      <c r="Q77" s="4">
        <f>SUM(O77:P77)</f>
        <v>59370375</v>
      </c>
      <c r="R77" s="1">
        <v>14695548</v>
      </c>
      <c r="S77" s="1">
        <v>9592282</v>
      </c>
      <c r="T77" s="4">
        <f>SUM(R77:S77)</f>
        <v>24287830</v>
      </c>
      <c r="U77" s="1">
        <v>83658205</v>
      </c>
      <c r="V77" s="1">
        <v>2020</v>
      </c>
      <c r="W77" s="8">
        <v>25190627</v>
      </c>
      <c r="X77" s="1">
        <v>0.81299999999999994</v>
      </c>
      <c r="Y77" s="1">
        <v>1</v>
      </c>
      <c r="Z77" s="1">
        <v>0</v>
      </c>
      <c r="AA77" s="1">
        <v>198200000</v>
      </c>
      <c r="AB77" s="1">
        <v>0.12434682139253279</v>
      </c>
      <c r="AC77" s="1">
        <v>3.56136629667003E-2</v>
      </c>
      <c r="AD77" s="1">
        <v>0.10354153380423814</v>
      </c>
      <c r="AE77" s="1">
        <v>2.6749767911200806E-2</v>
      </c>
      <c r="AF77" s="2">
        <f>SUM(AD77:AE77)</f>
        <v>0.13029130171543896</v>
      </c>
      <c r="AG77" s="2">
        <f>AF77+AC77</f>
        <v>0.16590496468213925</v>
      </c>
      <c r="AH77" s="1">
        <v>0.23834207870837537</v>
      </c>
      <c r="AI77" s="2">
        <f>SUM(AB77:AE77)</f>
        <v>0.29025178607467206</v>
      </c>
      <c r="AJ77" s="1">
        <v>7.7577507568113019E-2</v>
      </c>
      <c r="AK77" s="1">
        <v>0.18046711907164481</v>
      </c>
      <c r="AL77" s="4">
        <f>SUM(AJ77:AK77)</f>
        <v>0.2580446266397578</v>
      </c>
      <c r="AM77" s="1">
        <v>4.1503178607467203E-2</v>
      </c>
      <c r="AN77" s="4">
        <f>SUM(AL77:AM77)</f>
        <v>0.29954780524722502</v>
      </c>
      <c r="AO77" s="1">
        <v>7.4145045408678098E-2</v>
      </c>
      <c r="AP77" s="1">
        <v>4.8396982845610496E-2</v>
      </c>
      <c r="AQ77" s="4">
        <f>SUM(AO77:AP77)</f>
        <v>0.12254202825428859</v>
      </c>
      <c r="AR77" s="1">
        <v>0.42208983350151363</v>
      </c>
      <c r="AS77" s="1">
        <v>0.52859386478304737</v>
      </c>
      <c r="AT77" s="1">
        <v>4.9316301715438993E-2</v>
      </c>
      <c r="AU77" s="1">
        <f t="shared" si="25"/>
        <v>0.12709700807265389</v>
      </c>
      <c r="AV77" s="1">
        <v>13</v>
      </c>
      <c r="AW77">
        <v>509</v>
      </c>
      <c r="AX77">
        <v>369</v>
      </c>
      <c r="AY77" s="6">
        <v>1</v>
      </c>
      <c r="AZ77" s="6">
        <v>13</v>
      </c>
      <c r="BA77" s="11">
        <f t="shared" si="26"/>
        <v>31.8125</v>
      </c>
      <c r="BB77">
        <f t="shared" si="27"/>
        <v>23.0625</v>
      </c>
      <c r="BC77">
        <f t="shared" si="28"/>
        <v>140</v>
      </c>
      <c r="BD77">
        <f t="shared" si="29"/>
        <v>8.75</v>
      </c>
      <c r="BE77" s="10">
        <v>12.128557393598401</v>
      </c>
      <c r="BF77" s="6">
        <v>26</v>
      </c>
      <c r="BG77" s="6">
        <v>28.47025</v>
      </c>
      <c r="BH77" s="6">
        <v>0.65222000000000002</v>
      </c>
      <c r="BI77" s="6">
        <v>0.609375</v>
      </c>
      <c r="BJ77" s="6"/>
      <c r="BK77" s="6" t="s">
        <v>67</v>
      </c>
      <c r="BL77" s="6" t="s">
        <v>96</v>
      </c>
      <c r="BM77" s="6" t="s">
        <v>70</v>
      </c>
      <c r="BN77" s="6" t="s">
        <v>70</v>
      </c>
    </row>
    <row r="78" spans="1:80">
      <c r="A78" s="1" t="s">
        <v>188</v>
      </c>
      <c r="B78" s="1">
        <v>2020</v>
      </c>
      <c r="C78" s="1" t="s">
        <v>104</v>
      </c>
      <c r="D78" s="1">
        <v>14334715</v>
      </c>
      <c r="E78" s="1">
        <v>16353897</v>
      </c>
      <c r="F78" s="1">
        <v>23107507</v>
      </c>
      <c r="G78" s="1">
        <v>6027564</v>
      </c>
      <c r="H78" s="2">
        <f t="shared" si="15"/>
        <v>29135071</v>
      </c>
      <c r="I78" s="2">
        <f>H78+E78</f>
        <v>45488968</v>
      </c>
      <c r="J78" s="1">
        <v>37592815</v>
      </c>
      <c r="K78" s="2">
        <f t="shared" si="16"/>
        <v>59823683</v>
      </c>
      <c r="L78" s="1">
        <v>97416498</v>
      </c>
      <c r="M78" s="1">
        <v>23019923</v>
      </c>
      <c r="N78" s="1">
        <v>16478521</v>
      </c>
      <c r="O78" s="4">
        <f t="shared" si="17"/>
        <v>39498444</v>
      </c>
      <c r="P78" s="1">
        <v>17873795</v>
      </c>
      <c r="Q78" s="4">
        <f t="shared" si="18"/>
        <v>57372239</v>
      </c>
      <c r="R78" s="1">
        <v>7768067</v>
      </c>
      <c r="S78" s="1">
        <v>15354867</v>
      </c>
      <c r="T78" s="4">
        <f t="shared" si="19"/>
        <v>23122934</v>
      </c>
      <c r="U78" s="1">
        <v>80495173</v>
      </c>
      <c r="V78" s="1">
        <v>2020</v>
      </c>
      <c r="W78" s="8">
        <v>45760200</v>
      </c>
      <c r="X78" s="1">
        <v>0.25</v>
      </c>
      <c r="Y78" s="1">
        <v>0</v>
      </c>
      <c r="Z78" s="1">
        <v>0</v>
      </c>
      <c r="AA78" s="1">
        <v>198200000</v>
      </c>
      <c r="AB78" s="1">
        <v>7.2324495459132193E-2</v>
      </c>
      <c r="AC78" s="1">
        <v>8.2512093844601411E-2</v>
      </c>
      <c r="AD78" s="1">
        <v>0.11658681634712412</v>
      </c>
      <c r="AE78" s="1">
        <v>3.0411523713420787E-2</v>
      </c>
      <c r="AF78" s="2">
        <f t="shared" si="20"/>
        <v>0.14699834006054491</v>
      </c>
      <c r="AG78" s="2">
        <f>AF78+AC78</f>
        <v>0.2295104339051463</v>
      </c>
      <c r="AH78" s="1">
        <v>0.18967111503531786</v>
      </c>
      <c r="AI78" s="2">
        <f t="shared" si="21"/>
        <v>0.30183492936427853</v>
      </c>
      <c r="AJ78" s="1">
        <v>0.11614491927346116</v>
      </c>
      <c r="AK78" s="1">
        <v>8.3140872855701306E-2</v>
      </c>
      <c r="AL78" s="4">
        <f t="shared" si="22"/>
        <v>0.19928579212916248</v>
      </c>
      <c r="AM78" s="1">
        <v>9.0180600403632696E-2</v>
      </c>
      <c r="AN78" s="4">
        <f t="shared" si="23"/>
        <v>0.28946639253279516</v>
      </c>
      <c r="AO78" s="1">
        <v>3.9193072653884962E-2</v>
      </c>
      <c r="AP78" s="1">
        <v>7.7471579212916253E-2</v>
      </c>
      <c r="AQ78" s="4">
        <f t="shared" si="24"/>
        <v>0.11666465186680122</v>
      </c>
      <c r="AR78" s="1">
        <v>0.40613104439959635</v>
      </c>
      <c r="AS78" s="1">
        <v>0.49150604439959639</v>
      </c>
      <c r="AT78" s="1">
        <v>0.10236291120080732</v>
      </c>
      <c r="AU78" s="1">
        <f t="shared" si="25"/>
        <v>0.23087891019172552</v>
      </c>
      <c r="AV78" s="1">
        <v>4</v>
      </c>
      <c r="AW78">
        <v>384</v>
      </c>
      <c r="AX78">
        <v>464</v>
      </c>
      <c r="AY78" s="6">
        <v>18</v>
      </c>
      <c r="AZ78" s="6">
        <v>27</v>
      </c>
      <c r="BA78" s="11">
        <f t="shared" si="26"/>
        <v>24</v>
      </c>
      <c r="BB78">
        <f t="shared" si="27"/>
        <v>29</v>
      </c>
      <c r="BC78">
        <f t="shared" si="28"/>
        <v>-80</v>
      </c>
      <c r="BD78">
        <f t="shared" si="29"/>
        <v>-5</v>
      </c>
      <c r="BE78" s="10">
        <v>5.7390386322248998</v>
      </c>
      <c r="BF78" s="6">
        <v>26.318840000000002</v>
      </c>
      <c r="BG78" s="6">
        <v>27.5474</v>
      </c>
      <c r="BH78" s="6">
        <v>0.61736800000000003</v>
      </c>
      <c r="BI78" s="6">
        <v>0.62318799999999996</v>
      </c>
      <c r="BJ78" s="6"/>
      <c r="BK78" s="6" t="s">
        <v>73</v>
      </c>
      <c r="BL78" s="6" t="s">
        <v>68</v>
      </c>
      <c r="BM78" s="6" t="s">
        <v>99</v>
      </c>
      <c r="BN78" s="6" t="s">
        <v>93</v>
      </c>
    </row>
    <row r="79" spans="1:80">
      <c r="A79" s="1" t="s">
        <v>189</v>
      </c>
      <c r="B79" s="1">
        <v>2020</v>
      </c>
      <c r="C79" s="1" t="s">
        <v>106</v>
      </c>
      <c r="D79" s="1">
        <v>47105566</v>
      </c>
      <c r="E79" s="1">
        <v>5629641</v>
      </c>
      <c r="F79" s="1">
        <v>19415611</v>
      </c>
      <c r="G79" s="1">
        <v>10806164</v>
      </c>
      <c r="H79" s="2">
        <f t="shared" si="15"/>
        <v>30221775</v>
      </c>
      <c r="I79" s="2">
        <f>H79+E79</f>
        <v>35851416</v>
      </c>
      <c r="J79" s="1">
        <v>50913166</v>
      </c>
      <c r="K79" s="2">
        <f t="shared" si="16"/>
        <v>82956982</v>
      </c>
      <c r="L79" s="1">
        <v>133870148</v>
      </c>
      <c r="M79" s="1">
        <v>33864259</v>
      </c>
      <c r="N79" s="1">
        <v>15097967</v>
      </c>
      <c r="O79" s="4">
        <f t="shared" si="17"/>
        <v>48962226</v>
      </c>
      <c r="P79" s="1">
        <v>7983967</v>
      </c>
      <c r="Q79" s="4">
        <f t="shared" si="18"/>
        <v>56946193</v>
      </c>
      <c r="R79" s="1">
        <v>7437136</v>
      </c>
      <c r="S79" s="1">
        <v>13393415</v>
      </c>
      <c r="T79" s="4">
        <f t="shared" si="19"/>
        <v>20830551</v>
      </c>
      <c r="U79" s="1">
        <v>77776744</v>
      </c>
      <c r="V79" s="1">
        <v>2020</v>
      </c>
      <c r="W79" s="8">
        <v>26052725</v>
      </c>
      <c r="X79" s="1">
        <v>0.68799999999999994</v>
      </c>
      <c r="Y79" s="1">
        <v>1</v>
      </c>
      <c r="Z79" s="1">
        <v>0</v>
      </c>
      <c r="AA79" s="1">
        <v>198200000</v>
      </c>
      <c r="AB79" s="1">
        <v>0.23766683148335016</v>
      </c>
      <c r="AC79" s="1">
        <v>2.8403839556004035E-2</v>
      </c>
      <c r="AD79" s="1">
        <v>9.795969223007063E-2</v>
      </c>
      <c r="AE79" s="1">
        <v>5.4521513622603428E-2</v>
      </c>
      <c r="AF79" s="2">
        <f t="shared" si="20"/>
        <v>0.15248120585267405</v>
      </c>
      <c r="AG79" s="2">
        <f>AF79+AC79</f>
        <v>0.18088504540867809</v>
      </c>
      <c r="AH79" s="1">
        <v>0.25687772956609484</v>
      </c>
      <c r="AI79" s="2">
        <f t="shared" si="21"/>
        <v>0.41855187689202827</v>
      </c>
      <c r="AJ79" s="1">
        <v>0.17085902623612512</v>
      </c>
      <c r="AK79" s="1">
        <v>7.6175413723511609E-2</v>
      </c>
      <c r="AL79" s="4">
        <f t="shared" si="22"/>
        <v>0.24703443995963673</v>
      </c>
      <c r="AM79" s="1">
        <v>4.0282376387487384E-2</v>
      </c>
      <c r="AN79" s="4">
        <f t="shared" si="23"/>
        <v>0.28731681634712414</v>
      </c>
      <c r="AO79" s="1">
        <v>3.7523390514631688E-2</v>
      </c>
      <c r="AP79" s="1">
        <v>6.75752522704339E-2</v>
      </c>
      <c r="AQ79" s="4">
        <f t="shared" si="24"/>
        <v>0.10509864278506559</v>
      </c>
      <c r="AR79" s="1">
        <v>0.39241545913218973</v>
      </c>
      <c r="AS79" s="1">
        <v>0.67542960645812311</v>
      </c>
      <c r="AT79" s="1">
        <v>-6.7845065590312892E-2</v>
      </c>
      <c r="AU79" s="1">
        <f t="shared" si="25"/>
        <v>0.13144664480322907</v>
      </c>
      <c r="AV79" s="1">
        <v>11</v>
      </c>
      <c r="AW79">
        <v>451</v>
      </c>
      <c r="AX79">
        <v>362</v>
      </c>
      <c r="AY79" s="6">
        <v>9</v>
      </c>
      <c r="AZ79" s="6">
        <v>10</v>
      </c>
      <c r="BA79" s="11">
        <f t="shared" si="26"/>
        <v>28.1875</v>
      </c>
      <c r="BB79">
        <f t="shared" si="27"/>
        <v>22.625</v>
      </c>
      <c r="BC79">
        <f t="shared" si="28"/>
        <v>89</v>
      </c>
      <c r="BD79">
        <f t="shared" si="29"/>
        <v>5.5625</v>
      </c>
      <c r="BE79" s="10">
        <v>10.647350771643699</v>
      </c>
      <c r="BF79" s="6">
        <v>25.793099999999999</v>
      </c>
      <c r="BG79" s="6">
        <v>28.865030000000001</v>
      </c>
      <c r="BH79" s="6">
        <v>0.658416</v>
      </c>
      <c r="BI79" s="6">
        <v>0.60344799999999998</v>
      </c>
      <c r="BJ79" s="6"/>
      <c r="BK79" s="6" t="s">
        <v>67</v>
      </c>
      <c r="BL79" s="6" t="s">
        <v>96</v>
      </c>
      <c r="BM79" s="6" t="s">
        <v>70</v>
      </c>
      <c r="BN79" s="6" t="s">
        <v>70</v>
      </c>
    </row>
    <row r="80" spans="1:80">
      <c r="A80" s="1" t="s">
        <v>190</v>
      </c>
      <c r="B80" s="1">
        <v>2020</v>
      </c>
      <c r="C80" s="1" t="s">
        <v>108</v>
      </c>
      <c r="D80" s="1">
        <v>2218968</v>
      </c>
      <c r="E80" s="1">
        <v>4284150</v>
      </c>
      <c r="F80" s="1">
        <v>13008642</v>
      </c>
      <c r="G80" s="1">
        <v>7035664</v>
      </c>
      <c r="H80" s="2">
        <f t="shared" si="15"/>
        <v>20044306</v>
      </c>
      <c r="I80" s="2">
        <f>H80+E80</f>
        <v>24328456</v>
      </c>
      <c r="J80" s="1">
        <v>34261623</v>
      </c>
      <c r="K80" s="2">
        <f t="shared" si="16"/>
        <v>26547424</v>
      </c>
      <c r="L80" s="1">
        <v>60809047</v>
      </c>
      <c r="M80" s="1">
        <v>9073262</v>
      </c>
      <c r="N80" s="1">
        <v>10129711</v>
      </c>
      <c r="O80" s="4">
        <f t="shared" si="17"/>
        <v>19202973</v>
      </c>
      <c r="P80" s="1">
        <v>24171380</v>
      </c>
      <c r="Q80" s="4">
        <f t="shared" si="18"/>
        <v>43374353</v>
      </c>
      <c r="R80" s="1">
        <v>6022218</v>
      </c>
      <c r="S80" s="1">
        <v>15313716</v>
      </c>
      <c r="T80" s="4">
        <f t="shared" si="19"/>
        <v>21335934</v>
      </c>
      <c r="U80" s="1">
        <v>64710287</v>
      </c>
      <c r="V80" s="1">
        <v>2020</v>
      </c>
      <c r="W80" s="8">
        <v>41802593</v>
      </c>
      <c r="X80" s="1">
        <v>6.3E-2</v>
      </c>
      <c r="Y80" s="1">
        <v>0</v>
      </c>
      <c r="Z80" s="1">
        <v>0</v>
      </c>
      <c r="AA80" s="1">
        <v>198200000</v>
      </c>
      <c r="AB80" s="1">
        <v>1.1195600403632695E-2</v>
      </c>
      <c r="AC80" s="1">
        <v>2.1615287588294653E-2</v>
      </c>
      <c r="AD80" s="1">
        <v>6.5633915237134202E-2</v>
      </c>
      <c r="AE80" s="1">
        <v>3.5497800201816344E-2</v>
      </c>
      <c r="AF80" s="2">
        <f t="shared" si="20"/>
        <v>0.10113171543895055</v>
      </c>
      <c r="AG80" s="2">
        <f>AF80+AC80</f>
        <v>0.1227470030272452</v>
      </c>
      <c r="AH80" s="1">
        <v>0.17286389001009081</v>
      </c>
      <c r="AI80" s="2">
        <f t="shared" si="21"/>
        <v>0.13394260343087788</v>
      </c>
      <c r="AJ80" s="1">
        <v>4.5778314833501511E-2</v>
      </c>
      <c r="AK80" s="1">
        <v>5.1108531786074669E-2</v>
      </c>
      <c r="AL80" s="4">
        <f t="shared" si="22"/>
        <v>9.6886846619576181E-2</v>
      </c>
      <c r="AM80" s="1">
        <v>0.12195449041372351</v>
      </c>
      <c r="AN80" s="4">
        <f t="shared" si="23"/>
        <v>0.21884133703329969</v>
      </c>
      <c r="AO80" s="1">
        <v>3.0384550958627649E-2</v>
      </c>
      <c r="AP80" s="1">
        <v>7.7263955600403639E-2</v>
      </c>
      <c r="AQ80" s="4">
        <f t="shared" si="24"/>
        <v>0.10764850655903128</v>
      </c>
      <c r="AR80" s="1">
        <v>0.32648984359233096</v>
      </c>
      <c r="AS80" s="1">
        <v>0.30680649344096872</v>
      </c>
      <c r="AT80" s="1">
        <v>0.36670366296670032</v>
      </c>
      <c r="AU80" s="1">
        <f t="shared" si="25"/>
        <v>0.21091116548940464</v>
      </c>
      <c r="AV80" s="1">
        <v>1</v>
      </c>
      <c r="AW80">
        <v>306</v>
      </c>
      <c r="AX80">
        <v>492</v>
      </c>
      <c r="AY80" s="6">
        <v>30</v>
      </c>
      <c r="AZ80" s="6">
        <v>31</v>
      </c>
      <c r="BA80" s="11">
        <f t="shared" si="26"/>
        <v>19.125</v>
      </c>
      <c r="BB80">
        <f t="shared" si="27"/>
        <v>30.75</v>
      </c>
      <c r="BC80">
        <f t="shared" si="28"/>
        <v>-186</v>
      </c>
      <c r="BD80">
        <f t="shared" si="29"/>
        <v>-11.625</v>
      </c>
      <c r="BE80" s="10">
        <v>2.66045231992674</v>
      </c>
      <c r="BF80" s="6">
        <v>25.2</v>
      </c>
      <c r="BG80" s="6">
        <v>26.39011</v>
      </c>
      <c r="BH80" s="6">
        <v>0.59260000000000002</v>
      </c>
      <c r="BI80" s="6">
        <v>0.47142899999999999</v>
      </c>
      <c r="BJ80" s="6"/>
      <c r="BK80" s="6" t="s">
        <v>73</v>
      </c>
      <c r="BL80" s="6" t="s">
        <v>68</v>
      </c>
      <c r="BM80" s="6" t="s">
        <v>99</v>
      </c>
      <c r="BN80" s="6" t="s">
        <v>93</v>
      </c>
    </row>
    <row r="81" spans="1:66">
      <c r="A81" s="1" t="s">
        <v>191</v>
      </c>
      <c r="B81" s="1">
        <v>2020</v>
      </c>
      <c r="C81" s="1" t="s">
        <v>110</v>
      </c>
      <c r="D81" s="1">
        <v>7250503</v>
      </c>
      <c r="E81" s="1">
        <v>5099201</v>
      </c>
      <c r="F81" s="1">
        <v>36777928</v>
      </c>
      <c r="G81" s="1">
        <v>12578400</v>
      </c>
      <c r="H81" s="2">
        <f t="shared" si="15"/>
        <v>49356328</v>
      </c>
      <c r="I81" s="2">
        <f>H81+E81</f>
        <v>54455529</v>
      </c>
      <c r="J81" s="1">
        <v>36669047</v>
      </c>
      <c r="K81" s="2">
        <f t="shared" si="16"/>
        <v>61706032</v>
      </c>
      <c r="L81" s="1">
        <v>98375079</v>
      </c>
      <c r="M81" s="1">
        <v>18388976</v>
      </c>
      <c r="N81" s="1">
        <v>27380548</v>
      </c>
      <c r="O81" s="4">
        <f t="shared" si="17"/>
        <v>45769524</v>
      </c>
      <c r="P81" s="1">
        <v>21534268</v>
      </c>
      <c r="Q81" s="4">
        <f t="shared" si="18"/>
        <v>67303792</v>
      </c>
      <c r="R81" s="1">
        <v>23192615</v>
      </c>
      <c r="S81" s="1">
        <v>7893856</v>
      </c>
      <c r="T81" s="4">
        <f t="shared" si="19"/>
        <v>31086471</v>
      </c>
      <c r="U81" s="1">
        <v>98390263</v>
      </c>
      <c r="V81" s="1">
        <v>2020</v>
      </c>
      <c r="W81" s="8">
        <v>15557500</v>
      </c>
      <c r="X81" s="1">
        <v>0.875</v>
      </c>
      <c r="Y81" s="1">
        <v>1</v>
      </c>
      <c r="Z81" s="1">
        <v>0</v>
      </c>
      <c r="AA81" s="1">
        <v>198200000</v>
      </c>
      <c r="AB81" s="1">
        <v>3.6581750756811304E-2</v>
      </c>
      <c r="AC81" s="1">
        <v>2.5727552976791121E-2</v>
      </c>
      <c r="AD81" s="1">
        <v>0.1855596770938446</v>
      </c>
      <c r="AE81" s="1">
        <v>6.3463168516649848E-2</v>
      </c>
      <c r="AF81" s="2">
        <f t="shared" si="20"/>
        <v>0.24902284561049445</v>
      </c>
      <c r="AG81" s="2">
        <f>AF81+AC81</f>
        <v>0.27475039858728556</v>
      </c>
      <c r="AH81" s="1">
        <v>0.18501032795156408</v>
      </c>
      <c r="AI81" s="2">
        <f t="shared" si="21"/>
        <v>0.31133214934409686</v>
      </c>
      <c r="AJ81" s="1">
        <v>9.2779899091826434E-2</v>
      </c>
      <c r="AK81" s="1">
        <v>0.13814605449041373</v>
      </c>
      <c r="AL81" s="4">
        <f t="shared" si="22"/>
        <v>0.23092595358224016</v>
      </c>
      <c r="AM81" s="1">
        <v>0.10864918264379415</v>
      </c>
      <c r="AN81" s="4">
        <f t="shared" si="23"/>
        <v>0.3395751362260343</v>
      </c>
      <c r="AO81" s="1">
        <v>0.1170162209889001</v>
      </c>
      <c r="AP81" s="1">
        <v>3.9827729566094851E-2</v>
      </c>
      <c r="AQ81" s="4">
        <f t="shared" si="24"/>
        <v>0.15684395055499495</v>
      </c>
      <c r="AR81" s="1">
        <v>0.49641908678102925</v>
      </c>
      <c r="AS81" s="1">
        <v>0.49634247729566094</v>
      </c>
      <c r="AT81" s="1">
        <v>7.2384359233097495E-3</v>
      </c>
      <c r="AU81" s="1">
        <f t="shared" si="25"/>
        <v>7.8493945509586271E-2</v>
      </c>
      <c r="AV81" s="1">
        <v>14</v>
      </c>
      <c r="AW81">
        <v>473</v>
      </c>
      <c r="AX81">
        <v>362</v>
      </c>
      <c r="AY81" s="6">
        <v>6</v>
      </c>
      <c r="AZ81" s="6">
        <v>10</v>
      </c>
      <c r="BA81" s="11">
        <f t="shared" si="26"/>
        <v>29.5625</v>
      </c>
      <c r="BB81">
        <f t="shared" si="27"/>
        <v>22.625</v>
      </c>
      <c r="BC81">
        <f t="shared" si="28"/>
        <v>111</v>
      </c>
      <c r="BD81">
        <f t="shared" si="29"/>
        <v>6.9375</v>
      </c>
      <c r="BE81" s="10">
        <v>11.286302647781</v>
      </c>
      <c r="BF81" s="6">
        <v>26.25</v>
      </c>
      <c r="BG81" s="6">
        <v>27.470829999999999</v>
      </c>
      <c r="BH81" s="6">
        <v>0.64624700000000002</v>
      </c>
      <c r="BI81" s="6">
        <v>0.71428599999999998</v>
      </c>
      <c r="BJ81" s="6"/>
      <c r="BK81" s="6" t="s">
        <v>73</v>
      </c>
      <c r="BL81" s="6" t="s">
        <v>96</v>
      </c>
      <c r="BM81" s="6" t="s">
        <v>93</v>
      </c>
      <c r="BN81" s="6" t="s">
        <v>93</v>
      </c>
    </row>
    <row r="82" spans="1:66">
      <c r="A82" s="1" t="s">
        <v>192</v>
      </c>
      <c r="B82" s="1">
        <v>2020</v>
      </c>
      <c r="C82" s="1" t="s">
        <v>112</v>
      </c>
      <c r="D82" s="1">
        <v>31625000</v>
      </c>
      <c r="E82" s="1">
        <v>8300028</v>
      </c>
      <c r="F82" s="1">
        <v>18214691</v>
      </c>
      <c r="G82" s="1">
        <v>15657398</v>
      </c>
      <c r="H82" s="2">
        <f t="shared" si="15"/>
        <v>33872089</v>
      </c>
      <c r="I82" s="2">
        <f>H82+E82</f>
        <v>42172117</v>
      </c>
      <c r="J82" s="1">
        <v>53138925</v>
      </c>
      <c r="K82" s="2">
        <f t="shared" si="16"/>
        <v>73797117</v>
      </c>
      <c r="L82" s="1">
        <v>126936042</v>
      </c>
      <c r="M82" s="1">
        <v>13236548</v>
      </c>
      <c r="N82" s="1">
        <v>18222524</v>
      </c>
      <c r="O82" s="4">
        <f t="shared" si="17"/>
        <v>31459072</v>
      </c>
      <c r="P82" s="1">
        <v>16390125</v>
      </c>
      <c r="Q82" s="4">
        <f t="shared" si="18"/>
        <v>47849197</v>
      </c>
      <c r="R82" s="1">
        <v>20138076</v>
      </c>
      <c r="S82" s="1">
        <v>8384032</v>
      </c>
      <c r="T82" s="4">
        <f t="shared" si="19"/>
        <v>28522108</v>
      </c>
      <c r="U82" s="1">
        <v>76371305</v>
      </c>
      <c r="V82" s="1">
        <v>2020</v>
      </c>
      <c r="W82" s="8">
        <v>37001807</v>
      </c>
      <c r="X82" s="1">
        <v>0.5</v>
      </c>
      <c r="Y82" s="1">
        <v>0</v>
      </c>
      <c r="Z82" s="1">
        <v>0</v>
      </c>
      <c r="AA82" s="1">
        <v>198200000</v>
      </c>
      <c r="AB82" s="1">
        <v>0.15956104944500504</v>
      </c>
      <c r="AC82" s="1">
        <v>4.1877033299697275E-2</v>
      </c>
      <c r="AD82" s="1">
        <v>9.1900560040363274E-2</v>
      </c>
      <c r="AE82" s="1">
        <v>7.8997971745711409E-2</v>
      </c>
      <c r="AF82" s="2">
        <f t="shared" si="20"/>
        <v>0.17089853178607467</v>
      </c>
      <c r="AG82" s="2">
        <f>AF82+AC82</f>
        <v>0.21277556508577194</v>
      </c>
      <c r="AH82" s="1">
        <v>0.26810759334006057</v>
      </c>
      <c r="AI82" s="2">
        <f t="shared" si="21"/>
        <v>0.37233661453077704</v>
      </c>
      <c r="AJ82" s="1">
        <v>6.6783794147325937E-2</v>
      </c>
      <c r="AK82" s="1">
        <v>9.194008072653885E-2</v>
      </c>
      <c r="AL82" s="4">
        <f t="shared" si="22"/>
        <v>0.1587238748738648</v>
      </c>
      <c r="AM82" s="1">
        <v>8.2694878910191727E-2</v>
      </c>
      <c r="AN82" s="4">
        <f t="shared" si="23"/>
        <v>0.24141875378405653</v>
      </c>
      <c r="AO82" s="1">
        <v>0.10160482341069627</v>
      </c>
      <c r="AP82" s="1">
        <v>4.2300867810292631E-2</v>
      </c>
      <c r="AQ82" s="4">
        <f t="shared" si="24"/>
        <v>0.1439056912209889</v>
      </c>
      <c r="AR82" s="1">
        <v>0.38532444500504542</v>
      </c>
      <c r="AS82" s="1">
        <v>0.64044420787083756</v>
      </c>
      <c r="AT82" s="1">
        <v>-2.5768652875882925E-2</v>
      </c>
      <c r="AU82" s="1">
        <f t="shared" si="25"/>
        <v>0.18668923814328961</v>
      </c>
      <c r="AV82" s="1">
        <v>8</v>
      </c>
      <c r="AW82">
        <v>434</v>
      </c>
      <c r="AX82">
        <v>478</v>
      </c>
      <c r="AY82" s="6">
        <v>10</v>
      </c>
      <c r="AZ82" s="6">
        <v>30</v>
      </c>
      <c r="BA82" s="11">
        <f t="shared" si="26"/>
        <v>27.125</v>
      </c>
      <c r="BB82">
        <f t="shared" si="27"/>
        <v>29.875</v>
      </c>
      <c r="BC82">
        <f t="shared" si="28"/>
        <v>-44</v>
      </c>
      <c r="BD82">
        <f t="shared" si="29"/>
        <v>-2.75</v>
      </c>
      <c r="BE82" s="10">
        <v>6.7845962477223898</v>
      </c>
      <c r="BF82" s="6">
        <v>26.438600000000001</v>
      </c>
      <c r="BG82" s="6">
        <v>27.687830000000002</v>
      </c>
      <c r="BH82" s="6">
        <v>0.58378600000000003</v>
      </c>
      <c r="BI82" s="6">
        <v>0.631579</v>
      </c>
      <c r="BJ82" s="6"/>
      <c r="BK82" s="6" t="s">
        <v>80</v>
      </c>
      <c r="BL82" s="6" t="s">
        <v>74</v>
      </c>
      <c r="BM82" s="6" t="s">
        <v>81</v>
      </c>
      <c r="BN82" s="6" t="s">
        <v>75</v>
      </c>
    </row>
    <row r="83" spans="1:66">
      <c r="A83" s="1" t="s">
        <v>193</v>
      </c>
      <c r="B83" s="1">
        <v>2020</v>
      </c>
      <c r="C83" s="1" t="s">
        <v>114</v>
      </c>
      <c r="D83" s="1">
        <v>13077156</v>
      </c>
      <c r="E83" s="1">
        <v>7122592</v>
      </c>
      <c r="F83" s="1">
        <v>19513770</v>
      </c>
      <c r="G83" s="1">
        <v>16077000</v>
      </c>
      <c r="H83" s="2">
        <f t="shared" si="15"/>
        <v>35590770</v>
      </c>
      <c r="I83" s="2">
        <f>H83+E83</f>
        <v>42713362</v>
      </c>
      <c r="J83" s="1">
        <v>32040903</v>
      </c>
      <c r="K83" s="2">
        <f t="shared" si="16"/>
        <v>55790518</v>
      </c>
      <c r="L83" s="1">
        <v>87831421</v>
      </c>
      <c r="M83" s="1">
        <v>11318006</v>
      </c>
      <c r="N83" s="1">
        <v>34806798</v>
      </c>
      <c r="O83" s="4">
        <f t="shared" si="17"/>
        <v>46124804</v>
      </c>
      <c r="P83" s="1">
        <v>15450481</v>
      </c>
      <c r="Q83" s="4">
        <f t="shared" si="18"/>
        <v>61575285</v>
      </c>
      <c r="R83" s="1">
        <v>8080983</v>
      </c>
      <c r="S83" s="1">
        <v>22250416</v>
      </c>
      <c r="T83" s="4">
        <f t="shared" si="19"/>
        <v>30331399</v>
      </c>
      <c r="U83" s="1">
        <v>91906684</v>
      </c>
      <c r="V83" s="1">
        <v>2020</v>
      </c>
      <c r="W83" s="8">
        <v>47294246</v>
      </c>
      <c r="X83" s="1">
        <v>0.438</v>
      </c>
      <c r="Y83" s="1">
        <v>0</v>
      </c>
      <c r="Z83" s="1">
        <v>0</v>
      </c>
      <c r="AA83" s="1">
        <v>198200000</v>
      </c>
      <c r="AB83" s="1">
        <v>6.5979596367305757E-2</v>
      </c>
      <c r="AC83" s="1">
        <v>3.5936387487386479E-2</v>
      </c>
      <c r="AD83" s="1">
        <v>9.8454944500504543E-2</v>
      </c>
      <c r="AE83" s="1">
        <v>8.1115035317860754E-2</v>
      </c>
      <c r="AF83" s="2">
        <f t="shared" si="20"/>
        <v>0.17956997981836531</v>
      </c>
      <c r="AG83" s="2">
        <f>AF83+AC83</f>
        <v>0.21550636730575179</v>
      </c>
      <c r="AH83" s="1">
        <v>0.1616594500504541</v>
      </c>
      <c r="AI83" s="2">
        <f t="shared" si="21"/>
        <v>0.2814859636730575</v>
      </c>
      <c r="AJ83" s="1">
        <v>5.710396569122099E-2</v>
      </c>
      <c r="AK83" s="1">
        <v>0.17561452068617558</v>
      </c>
      <c r="AL83" s="4">
        <f t="shared" si="22"/>
        <v>0.23271848637739656</v>
      </c>
      <c r="AM83" s="1">
        <v>7.7953990918264382E-2</v>
      </c>
      <c r="AN83" s="4">
        <f t="shared" si="23"/>
        <v>0.31067247729566094</v>
      </c>
      <c r="AO83" s="1">
        <v>4.0771861755802219E-2</v>
      </c>
      <c r="AP83" s="1">
        <v>0.11226244197780021</v>
      </c>
      <c r="AQ83" s="4">
        <f t="shared" si="24"/>
        <v>0.15303430373360244</v>
      </c>
      <c r="AR83" s="1">
        <v>0.46370678102926338</v>
      </c>
      <c r="AS83" s="1">
        <v>0.44314541372351163</v>
      </c>
      <c r="AT83" s="1">
        <v>9.3147805247224991E-2</v>
      </c>
      <c r="AU83" s="1">
        <f t="shared" si="25"/>
        <v>0.2386187991927346</v>
      </c>
      <c r="AV83" s="1">
        <v>7</v>
      </c>
      <c r="AW83">
        <v>384</v>
      </c>
      <c r="AX83">
        <v>426</v>
      </c>
      <c r="AY83" s="6">
        <v>18</v>
      </c>
      <c r="AZ83" s="6">
        <v>23</v>
      </c>
      <c r="BA83" s="11">
        <f t="shared" si="26"/>
        <v>24</v>
      </c>
      <c r="BB83">
        <f t="shared" si="27"/>
        <v>26.625</v>
      </c>
      <c r="BC83">
        <f t="shared" si="28"/>
        <v>-42</v>
      </c>
      <c r="BD83">
        <f t="shared" si="29"/>
        <v>-2.625</v>
      </c>
      <c r="BE83" s="10">
        <v>6.8426827819166904</v>
      </c>
      <c r="BF83" s="6">
        <v>25.80303</v>
      </c>
      <c r="BG83" s="6">
        <v>27.562059999999999</v>
      </c>
      <c r="BH83" s="6">
        <v>0.61298699999999995</v>
      </c>
      <c r="BI83" s="6">
        <v>0.56060600000000005</v>
      </c>
      <c r="BJ83" s="6"/>
      <c r="BK83" s="6" t="s">
        <v>73</v>
      </c>
      <c r="BL83" s="6" t="s">
        <v>68</v>
      </c>
      <c r="BM83" s="6" t="s">
        <v>99</v>
      </c>
      <c r="BN83" s="6" t="s">
        <v>93</v>
      </c>
    </row>
    <row r="84" spans="1:66">
      <c r="A84" s="1" t="s">
        <v>194</v>
      </c>
      <c r="B84" s="1">
        <v>2020</v>
      </c>
      <c r="C84" s="1" t="s">
        <v>116</v>
      </c>
      <c r="D84" s="1">
        <v>29742082</v>
      </c>
      <c r="E84" s="1">
        <v>4617451</v>
      </c>
      <c r="F84" s="1">
        <v>16494036</v>
      </c>
      <c r="G84" s="1">
        <v>12714317</v>
      </c>
      <c r="H84" s="2">
        <f t="shared" si="15"/>
        <v>29208353</v>
      </c>
      <c r="I84" s="2">
        <f>H84+E84</f>
        <v>33825804</v>
      </c>
      <c r="J84" s="1">
        <v>22942443</v>
      </c>
      <c r="K84" s="2">
        <f t="shared" si="16"/>
        <v>63567886</v>
      </c>
      <c r="L84" s="1">
        <v>86510329</v>
      </c>
      <c r="M84" s="1">
        <v>33835477</v>
      </c>
      <c r="N84" s="1">
        <v>12064881</v>
      </c>
      <c r="O84" s="4">
        <f t="shared" si="17"/>
        <v>45900358</v>
      </c>
      <c r="P84" s="1">
        <v>3154812</v>
      </c>
      <c r="Q84" s="4">
        <f t="shared" si="18"/>
        <v>49055170</v>
      </c>
      <c r="R84" s="1">
        <v>6219689</v>
      </c>
      <c r="S84" s="1">
        <v>12460591</v>
      </c>
      <c r="T84" s="4">
        <f t="shared" si="19"/>
        <v>18680280</v>
      </c>
      <c r="U84" s="1">
        <v>67735450</v>
      </c>
      <c r="V84" s="1">
        <v>2020</v>
      </c>
      <c r="W84" s="8">
        <v>4444760</v>
      </c>
      <c r="X84" s="1">
        <v>0.625</v>
      </c>
      <c r="Y84" s="1">
        <v>1</v>
      </c>
      <c r="Z84" s="1">
        <v>0</v>
      </c>
      <c r="AA84" s="1">
        <v>198200000</v>
      </c>
      <c r="AB84" s="1">
        <v>0.15006095862764884</v>
      </c>
      <c r="AC84" s="1">
        <v>2.3296927346115034E-2</v>
      </c>
      <c r="AD84" s="1">
        <v>8.3219152371342073E-2</v>
      </c>
      <c r="AE84" s="1">
        <v>6.4148925327951564E-2</v>
      </c>
      <c r="AF84" s="2">
        <f t="shared" si="20"/>
        <v>0.14736807769929364</v>
      </c>
      <c r="AG84" s="2">
        <f>AF84+AC84</f>
        <v>0.17066500504540866</v>
      </c>
      <c r="AH84" s="1">
        <v>0.11575400100908173</v>
      </c>
      <c r="AI84" s="2">
        <f t="shared" si="21"/>
        <v>0.32072596367305756</v>
      </c>
      <c r="AJ84" s="1">
        <v>0.17071380928355195</v>
      </c>
      <c r="AK84" s="1">
        <v>6.0872255297679111E-2</v>
      </c>
      <c r="AL84" s="4">
        <f t="shared" si="22"/>
        <v>0.23158606458123107</v>
      </c>
      <c r="AM84" s="1">
        <v>1.5917315842583248E-2</v>
      </c>
      <c r="AN84" s="4">
        <f t="shared" si="23"/>
        <v>0.24750338042381431</v>
      </c>
      <c r="AO84" s="1">
        <v>3.1380872855701313E-2</v>
      </c>
      <c r="AP84" s="1">
        <v>6.2868773965691224E-2</v>
      </c>
      <c r="AQ84" s="4">
        <f t="shared" si="24"/>
        <v>9.424964682139253E-2</v>
      </c>
      <c r="AR84" s="1">
        <v>0.34175302724520684</v>
      </c>
      <c r="AS84" s="1">
        <v>0.43647996468213923</v>
      </c>
      <c r="AT84" s="1">
        <v>0.22176700807265393</v>
      </c>
      <c r="AU84" s="1">
        <f t="shared" si="25"/>
        <v>2.2425630676084763E-2</v>
      </c>
      <c r="AV84" s="1">
        <v>10</v>
      </c>
      <c r="AW84">
        <v>372</v>
      </c>
      <c r="AX84">
        <v>296</v>
      </c>
      <c r="AY84" s="6">
        <v>22</v>
      </c>
      <c r="AZ84" s="6">
        <v>1</v>
      </c>
      <c r="BA84" s="11">
        <f t="shared" si="26"/>
        <v>23.25</v>
      </c>
      <c r="BB84">
        <f t="shared" si="27"/>
        <v>18.5</v>
      </c>
      <c r="BC84">
        <f t="shared" si="28"/>
        <v>76</v>
      </c>
      <c r="BD84">
        <f t="shared" si="29"/>
        <v>4.75</v>
      </c>
      <c r="BE84" s="10">
        <v>10.2697882993807</v>
      </c>
      <c r="BF84" s="6">
        <v>25.423729999999999</v>
      </c>
      <c r="BG84" s="6">
        <v>27.356300000000001</v>
      </c>
      <c r="BH84" s="6">
        <v>0.64177099999999998</v>
      </c>
      <c r="BI84" s="6">
        <v>0.69491499999999995</v>
      </c>
      <c r="BJ84" s="6"/>
      <c r="BK84" s="6" t="s">
        <v>73</v>
      </c>
      <c r="BL84" s="6" t="s">
        <v>96</v>
      </c>
      <c r="BM84" s="6" t="s">
        <v>93</v>
      </c>
      <c r="BN84" s="6" t="s">
        <v>93</v>
      </c>
    </row>
    <row r="85" spans="1:66">
      <c r="A85" s="1" t="s">
        <v>195</v>
      </c>
      <c r="B85" s="1">
        <v>2020</v>
      </c>
      <c r="C85" s="1" t="s">
        <v>118</v>
      </c>
      <c r="D85" s="1">
        <v>13738107</v>
      </c>
      <c r="E85" s="1">
        <v>6048483</v>
      </c>
      <c r="F85" s="1">
        <v>12934747</v>
      </c>
      <c r="G85" s="1">
        <v>5150508</v>
      </c>
      <c r="H85" s="2">
        <f t="shared" si="15"/>
        <v>18085255</v>
      </c>
      <c r="I85" s="2">
        <f>H85+E85</f>
        <v>24133738</v>
      </c>
      <c r="J85" s="1">
        <v>25769545</v>
      </c>
      <c r="K85" s="2">
        <f t="shared" si="16"/>
        <v>37871845</v>
      </c>
      <c r="L85" s="1">
        <v>63641390</v>
      </c>
      <c r="M85" s="1">
        <v>8882281</v>
      </c>
      <c r="N85" s="1">
        <v>30184088</v>
      </c>
      <c r="O85" s="4">
        <f t="shared" si="17"/>
        <v>39066369</v>
      </c>
      <c r="P85" s="1">
        <v>9679600</v>
      </c>
      <c r="Q85" s="4">
        <f t="shared" si="18"/>
        <v>48745969</v>
      </c>
      <c r="R85" s="1">
        <v>15602600</v>
      </c>
      <c r="S85" s="1">
        <v>34531218</v>
      </c>
      <c r="T85" s="4">
        <f t="shared" si="19"/>
        <v>50133818</v>
      </c>
      <c r="U85" s="1">
        <v>98879787</v>
      </c>
      <c r="V85" s="1">
        <v>2020</v>
      </c>
      <c r="W85" s="8">
        <v>7149972</v>
      </c>
      <c r="X85" s="1">
        <v>0.625</v>
      </c>
      <c r="Y85" s="1">
        <v>0</v>
      </c>
      <c r="Z85" s="1">
        <v>0</v>
      </c>
      <c r="AA85" s="1">
        <v>198200000</v>
      </c>
      <c r="AB85" s="1">
        <v>6.9314364278506554E-2</v>
      </c>
      <c r="AC85" s="1">
        <v>3.0517068617558023E-2</v>
      </c>
      <c r="AD85" s="1">
        <v>6.5261084762865795E-2</v>
      </c>
      <c r="AE85" s="1">
        <v>2.5986417759838547E-2</v>
      </c>
      <c r="AF85" s="2">
        <f t="shared" si="20"/>
        <v>9.1247502522704346E-2</v>
      </c>
      <c r="AG85" s="2">
        <f>AF85+AC85</f>
        <v>0.12176457114026237</v>
      </c>
      <c r="AH85" s="1">
        <v>0.13001788597376387</v>
      </c>
      <c r="AI85" s="2">
        <f t="shared" si="21"/>
        <v>0.19107893541876891</v>
      </c>
      <c r="AJ85" s="1">
        <v>4.4814737638748742E-2</v>
      </c>
      <c r="AK85" s="1">
        <v>0.15229105953582239</v>
      </c>
      <c r="AL85" s="4">
        <f t="shared" si="22"/>
        <v>0.19710579717457113</v>
      </c>
      <c r="AM85" s="1">
        <v>4.8837537840565083E-2</v>
      </c>
      <c r="AN85" s="4">
        <f t="shared" si="23"/>
        <v>0.24594333501513621</v>
      </c>
      <c r="AO85" s="1">
        <v>7.8721493440968723E-2</v>
      </c>
      <c r="AP85" s="1">
        <v>0.17422410696266397</v>
      </c>
      <c r="AQ85" s="4">
        <f t="shared" si="24"/>
        <v>0.25294560040363268</v>
      </c>
      <c r="AR85" s="1">
        <v>0.49888893541876894</v>
      </c>
      <c r="AS85" s="1">
        <v>0.32109682139253282</v>
      </c>
      <c r="AT85" s="1">
        <v>0.18001424318869819</v>
      </c>
      <c r="AU85" s="1">
        <f t="shared" si="25"/>
        <v>3.6074530776992936E-2</v>
      </c>
      <c r="AV85" s="1">
        <v>10</v>
      </c>
      <c r="AW85">
        <v>404</v>
      </c>
      <c r="AX85">
        <v>338</v>
      </c>
      <c r="AY85" s="6">
        <v>15</v>
      </c>
      <c r="AZ85" s="6">
        <v>6</v>
      </c>
      <c r="BA85" s="11">
        <f t="shared" si="26"/>
        <v>25.25</v>
      </c>
      <c r="BB85">
        <f t="shared" si="27"/>
        <v>21.125</v>
      </c>
      <c r="BC85">
        <f t="shared" si="28"/>
        <v>66</v>
      </c>
      <c r="BD85">
        <f t="shared" si="29"/>
        <v>4.125</v>
      </c>
      <c r="BE85" s="10">
        <v>9.9793556284091594</v>
      </c>
      <c r="BF85" s="6">
        <v>25.438600000000001</v>
      </c>
      <c r="BG85" s="6">
        <v>26.91422</v>
      </c>
      <c r="BH85" s="6">
        <v>0.57450299999999999</v>
      </c>
      <c r="BI85" s="6">
        <v>0.508772</v>
      </c>
      <c r="BJ85" s="6"/>
      <c r="BK85" s="6" t="s">
        <v>73</v>
      </c>
      <c r="BL85" s="6" t="s">
        <v>74</v>
      </c>
      <c r="BM85" s="6" t="s">
        <v>75</v>
      </c>
      <c r="BN85" s="6" t="s">
        <v>75</v>
      </c>
    </row>
    <row r="86" spans="1:66">
      <c r="A86" s="1" t="s">
        <v>196</v>
      </c>
      <c r="B86" s="1">
        <v>2020</v>
      </c>
      <c r="C86" s="1" t="s">
        <v>120</v>
      </c>
      <c r="D86" s="1">
        <v>22173100</v>
      </c>
      <c r="E86" s="1">
        <v>7162164</v>
      </c>
      <c r="F86" s="1">
        <v>17888635</v>
      </c>
      <c r="G86" s="1">
        <v>11517438</v>
      </c>
      <c r="H86" s="2">
        <f t="shared" si="15"/>
        <v>29406073</v>
      </c>
      <c r="I86" s="2">
        <f>H86+E86</f>
        <v>36568237</v>
      </c>
      <c r="J86" s="1">
        <v>17340511</v>
      </c>
      <c r="K86" s="2">
        <f t="shared" si="16"/>
        <v>58741337</v>
      </c>
      <c r="L86" s="1">
        <v>76081848</v>
      </c>
      <c r="M86" s="1">
        <v>8975453</v>
      </c>
      <c r="N86" s="1">
        <v>11670056</v>
      </c>
      <c r="O86" s="4">
        <f t="shared" si="17"/>
        <v>20645509</v>
      </c>
      <c r="P86" s="1">
        <v>24254783</v>
      </c>
      <c r="Q86" s="4">
        <f t="shared" si="18"/>
        <v>44900292</v>
      </c>
      <c r="R86" s="1">
        <v>23730611</v>
      </c>
      <c r="S86" s="1">
        <v>7944494</v>
      </c>
      <c r="T86" s="4">
        <f t="shared" si="19"/>
        <v>31675105</v>
      </c>
      <c r="U86" s="1">
        <v>76575397</v>
      </c>
      <c r="V86" s="1">
        <v>2020</v>
      </c>
      <c r="W86" s="8">
        <v>45208660</v>
      </c>
      <c r="X86" s="1">
        <v>0.438</v>
      </c>
      <c r="Y86" s="1">
        <v>0</v>
      </c>
      <c r="Z86" s="1">
        <v>0</v>
      </c>
      <c r="AA86" s="1">
        <v>198200000</v>
      </c>
      <c r="AB86" s="1">
        <v>0.111872351160444</v>
      </c>
      <c r="AC86" s="1">
        <v>3.6136044399596369E-2</v>
      </c>
      <c r="AD86" s="1">
        <v>9.0255474268415736E-2</v>
      </c>
      <c r="AE86" s="1">
        <v>5.8110181634712411E-2</v>
      </c>
      <c r="AF86" s="2">
        <f t="shared" si="20"/>
        <v>0.14836565590312814</v>
      </c>
      <c r="AG86" s="2">
        <f>AF86+AC86</f>
        <v>0.1845017003027245</v>
      </c>
      <c r="AH86" s="1">
        <v>8.7489964682139251E-2</v>
      </c>
      <c r="AI86" s="2">
        <f t="shared" si="21"/>
        <v>0.29637405146316853</v>
      </c>
      <c r="AJ86" s="1">
        <v>4.5284828456104945E-2</v>
      </c>
      <c r="AK86" s="1">
        <v>5.8880201816347122E-2</v>
      </c>
      <c r="AL86" s="4">
        <f t="shared" si="22"/>
        <v>0.10416503027245207</v>
      </c>
      <c r="AM86" s="1">
        <v>0.12237529263370334</v>
      </c>
      <c r="AN86" s="4">
        <f t="shared" si="23"/>
        <v>0.22654032290615539</v>
      </c>
      <c r="AO86" s="1">
        <v>0.11973063067608476</v>
      </c>
      <c r="AP86" s="1">
        <v>4.0083218970736627E-2</v>
      </c>
      <c r="AQ86" s="4">
        <f t="shared" si="24"/>
        <v>0.15981384964682138</v>
      </c>
      <c r="AR86" s="1">
        <v>0.38635417255297677</v>
      </c>
      <c r="AS86" s="1">
        <v>0.3838640161453078</v>
      </c>
      <c r="AT86" s="1">
        <v>0.22978181130171538</v>
      </c>
      <c r="AU86" s="1">
        <f t="shared" si="25"/>
        <v>0.22809616548940465</v>
      </c>
      <c r="AV86" s="1">
        <v>7</v>
      </c>
      <c r="AW86">
        <v>430</v>
      </c>
      <c r="AX86">
        <v>475</v>
      </c>
      <c r="AY86" s="6">
        <v>11</v>
      </c>
      <c r="AZ86" s="6">
        <v>29</v>
      </c>
      <c r="BA86" s="11">
        <f t="shared" si="26"/>
        <v>26.875</v>
      </c>
      <c r="BB86">
        <f t="shared" si="27"/>
        <v>29.6875</v>
      </c>
      <c r="BC86">
        <f t="shared" si="28"/>
        <v>-45</v>
      </c>
      <c r="BD86">
        <f t="shared" si="29"/>
        <v>-2.8125</v>
      </c>
      <c r="BE86" s="10">
        <v>6.7555529806252403</v>
      </c>
      <c r="BF86" s="6">
        <v>25.616669999999999</v>
      </c>
      <c r="BG86" s="6">
        <v>28.163209999999999</v>
      </c>
      <c r="BH86" s="6">
        <v>0.64438899999999999</v>
      </c>
      <c r="BI86" s="6">
        <v>0.6</v>
      </c>
      <c r="BJ86" s="6"/>
      <c r="BK86" s="6" t="s">
        <v>80</v>
      </c>
      <c r="BL86" s="6" t="s">
        <v>96</v>
      </c>
      <c r="BM86" s="6" t="s">
        <v>164</v>
      </c>
      <c r="BN86" s="6" t="s">
        <v>70</v>
      </c>
    </row>
    <row r="87" spans="1:66">
      <c r="A87" s="1" t="s">
        <v>197</v>
      </c>
      <c r="B87" s="1">
        <v>2020</v>
      </c>
      <c r="C87" s="1" t="s">
        <v>122</v>
      </c>
      <c r="D87" s="1">
        <v>3605328</v>
      </c>
      <c r="E87" s="1">
        <v>11650746</v>
      </c>
      <c r="F87" s="1">
        <v>18385266</v>
      </c>
      <c r="G87" s="1">
        <v>2423440</v>
      </c>
      <c r="H87" s="2">
        <f t="shared" si="15"/>
        <v>20808706</v>
      </c>
      <c r="I87" s="2">
        <f>H87+E87</f>
        <v>32459452</v>
      </c>
      <c r="J87" s="1">
        <v>37449919</v>
      </c>
      <c r="K87" s="2">
        <f t="shared" si="16"/>
        <v>36064780</v>
      </c>
      <c r="L87" s="1">
        <v>73514699</v>
      </c>
      <c r="M87" s="1">
        <v>13774273</v>
      </c>
      <c r="N87" s="1">
        <v>10921606</v>
      </c>
      <c r="O87" s="4">
        <f t="shared" si="17"/>
        <v>24695879</v>
      </c>
      <c r="P87" s="1">
        <v>2456912</v>
      </c>
      <c r="Q87" s="4">
        <f t="shared" si="18"/>
        <v>27152791</v>
      </c>
      <c r="R87" s="1">
        <v>13468641</v>
      </c>
      <c r="S87" s="1">
        <v>40532199</v>
      </c>
      <c r="T87" s="4">
        <f t="shared" si="19"/>
        <v>54000840</v>
      </c>
      <c r="U87" s="1">
        <v>81153631</v>
      </c>
      <c r="V87" s="1">
        <v>2020</v>
      </c>
      <c r="W87" s="8">
        <v>51523253</v>
      </c>
      <c r="X87" s="1">
        <v>0.438</v>
      </c>
      <c r="Y87" s="1">
        <v>0</v>
      </c>
      <c r="Z87" s="1">
        <v>0</v>
      </c>
      <c r="AA87" s="1">
        <v>198200000</v>
      </c>
      <c r="AB87" s="1">
        <v>1.8190353178607468E-2</v>
      </c>
      <c r="AC87" s="1">
        <v>5.878277497477296E-2</v>
      </c>
      <c r="AD87" s="1">
        <v>9.2761180625630671E-2</v>
      </c>
      <c r="AE87" s="1">
        <v>1.2227245206861756E-2</v>
      </c>
      <c r="AF87" s="2">
        <f t="shared" si="20"/>
        <v>0.10498842583249243</v>
      </c>
      <c r="AG87" s="2">
        <f>AF87+AC87</f>
        <v>0.1637712008072654</v>
      </c>
      <c r="AH87" s="1">
        <v>0.18895014631685167</v>
      </c>
      <c r="AI87" s="2">
        <f t="shared" si="21"/>
        <v>0.18196155398587283</v>
      </c>
      <c r="AJ87" s="1">
        <v>6.9496836528758835E-2</v>
      </c>
      <c r="AK87" s="1">
        <v>5.5103965691220988E-2</v>
      </c>
      <c r="AL87" s="4">
        <f t="shared" si="22"/>
        <v>0.12460080221997982</v>
      </c>
      <c r="AM87" s="1">
        <v>1.2396125126135218E-2</v>
      </c>
      <c r="AN87" s="4">
        <f t="shared" si="23"/>
        <v>0.13699692734611504</v>
      </c>
      <c r="AO87" s="1">
        <v>6.7954798183652881E-2</v>
      </c>
      <c r="AP87" s="1">
        <v>0.20450150857719476</v>
      </c>
      <c r="AQ87" s="4">
        <f t="shared" si="24"/>
        <v>0.27245630676084764</v>
      </c>
      <c r="AR87" s="1">
        <v>0.40945323410696266</v>
      </c>
      <c r="AS87" s="1">
        <v>0.37091170030272452</v>
      </c>
      <c r="AT87" s="1">
        <v>0.21963506559031276</v>
      </c>
      <c r="AU87" s="1">
        <f t="shared" si="25"/>
        <v>0.25995586781029262</v>
      </c>
      <c r="AV87" s="1">
        <v>7</v>
      </c>
      <c r="AW87">
        <v>326</v>
      </c>
      <c r="AX87">
        <v>353</v>
      </c>
      <c r="AY87" s="6">
        <v>27</v>
      </c>
      <c r="AZ87" s="6">
        <v>7</v>
      </c>
      <c r="BA87" s="11">
        <f t="shared" si="26"/>
        <v>20.375</v>
      </c>
      <c r="BB87">
        <f t="shared" si="27"/>
        <v>22.0625</v>
      </c>
      <c r="BC87">
        <f t="shared" si="28"/>
        <v>-27</v>
      </c>
      <c r="BD87">
        <f t="shared" si="29"/>
        <v>-1.6875</v>
      </c>
      <c r="BE87" s="10">
        <v>7.27833178837398</v>
      </c>
      <c r="BF87" s="6">
        <v>26.573530000000002</v>
      </c>
      <c r="BG87" s="6">
        <v>28.494769999999999</v>
      </c>
      <c r="BH87" s="6">
        <v>0.60883900000000002</v>
      </c>
      <c r="BI87" s="6">
        <v>0.55882399999999999</v>
      </c>
      <c r="BJ87" s="6"/>
      <c r="BK87" s="6" t="s">
        <v>67</v>
      </c>
      <c r="BL87" s="6" t="s">
        <v>68</v>
      </c>
      <c r="BM87" s="6" t="s">
        <v>69</v>
      </c>
      <c r="BN87" s="6" t="s">
        <v>70</v>
      </c>
    </row>
    <row r="88" spans="1:66">
      <c r="A88" s="1" t="s">
        <v>198</v>
      </c>
      <c r="B88" s="1">
        <v>2020</v>
      </c>
      <c r="C88" s="1" t="s">
        <v>124</v>
      </c>
      <c r="D88" s="1">
        <v>29615000</v>
      </c>
      <c r="E88" s="1">
        <v>10071475</v>
      </c>
      <c r="F88" s="1">
        <v>15770933</v>
      </c>
      <c r="G88" s="1">
        <v>12818826</v>
      </c>
      <c r="H88" s="2">
        <f t="shared" si="15"/>
        <v>28589759</v>
      </c>
      <c r="I88" s="2">
        <f>H88+E88</f>
        <v>38661234</v>
      </c>
      <c r="J88" s="1">
        <v>26828544</v>
      </c>
      <c r="K88" s="2">
        <f t="shared" si="16"/>
        <v>68276234</v>
      </c>
      <c r="L88" s="1">
        <v>95104778</v>
      </c>
      <c r="M88" s="1">
        <v>15509386</v>
      </c>
      <c r="N88" s="1">
        <v>14776363</v>
      </c>
      <c r="O88" s="4">
        <f t="shared" si="17"/>
        <v>30285749</v>
      </c>
      <c r="P88" s="1">
        <v>14017409</v>
      </c>
      <c r="Q88" s="4">
        <f t="shared" si="18"/>
        <v>44303158</v>
      </c>
      <c r="R88" s="1">
        <v>6835585</v>
      </c>
      <c r="S88" s="1">
        <v>15982911</v>
      </c>
      <c r="T88" s="4">
        <f t="shared" si="19"/>
        <v>22818496</v>
      </c>
      <c r="U88" s="1">
        <v>67121654</v>
      </c>
      <c r="V88" s="1">
        <v>2020</v>
      </c>
      <c r="W88" s="8">
        <v>10173995</v>
      </c>
      <c r="X88" s="1">
        <v>0.75</v>
      </c>
      <c r="Y88" s="1">
        <v>1</v>
      </c>
      <c r="Z88" s="1">
        <v>0</v>
      </c>
      <c r="AA88" s="1">
        <v>198200000</v>
      </c>
      <c r="AB88" s="1">
        <v>0.14941977800201817</v>
      </c>
      <c r="AC88" s="1">
        <v>5.0814707366296667E-2</v>
      </c>
      <c r="AD88" s="1">
        <v>7.9570802219979822E-2</v>
      </c>
      <c r="AE88" s="1">
        <v>6.4676215943491419E-2</v>
      </c>
      <c r="AF88" s="2">
        <f t="shared" si="20"/>
        <v>0.14424701816347124</v>
      </c>
      <c r="AG88" s="2">
        <f>AF88+AC88</f>
        <v>0.19506172552976792</v>
      </c>
      <c r="AH88" s="1">
        <v>0.1353609687184662</v>
      </c>
      <c r="AI88" s="2">
        <f t="shared" si="21"/>
        <v>0.34448150353178608</v>
      </c>
      <c r="AJ88" s="1">
        <v>7.8251190716448038E-2</v>
      </c>
      <c r="AK88" s="1">
        <v>7.4552790110998995E-2</v>
      </c>
      <c r="AL88" s="4">
        <f t="shared" si="22"/>
        <v>0.15280398082744703</v>
      </c>
      <c r="AM88" s="1">
        <v>7.0723557013118069E-2</v>
      </c>
      <c r="AN88" s="4">
        <f t="shared" si="23"/>
        <v>0.22352753784056512</v>
      </c>
      <c r="AO88" s="1">
        <v>3.4488319878910191E-2</v>
      </c>
      <c r="AP88" s="1">
        <v>8.0640317860746727E-2</v>
      </c>
      <c r="AQ88" s="4">
        <f t="shared" si="24"/>
        <v>0.11512863773965692</v>
      </c>
      <c r="AR88" s="1">
        <v>0.33865617558022199</v>
      </c>
      <c r="AS88" s="1">
        <v>0.47984247225025228</v>
      </c>
      <c r="AT88" s="1">
        <v>0.18150135216952568</v>
      </c>
      <c r="AU88" s="1">
        <f t="shared" si="25"/>
        <v>5.1331962663975779E-2</v>
      </c>
      <c r="AV88" s="1">
        <v>12</v>
      </c>
      <c r="AW88">
        <v>482</v>
      </c>
      <c r="AX88">
        <v>337</v>
      </c>
      <c r="AY88" s="6">
        <v>5</v>
      </c>
      <c r="AZ88" s="6">
        <v>5</v>
      </c>
      <c r="BA88" s="11">
        <f t="shared" si="26"/>
        <v>30.125</v>
      </c>
      <c r="BB88">
        <f t="shared" si="27"/>
        <v>21.0625</v>
      </c>
      <c r="BC88">
        <f t="shared" si="28"/>
        <v>145</v>
      </c>
      <c r="BD88">
        <f t="shared" si="29"/>
        <v>9.0625</v>
      </c>
      <c r="BE88" s="10">
        <v>12.2737737290842</v>
      </c>
      <c r="BF88" s="6">
        <v>26.966670000000001</v>
      </c>
      <c r="BG88" s="6">
        <v>30.099119999999999</v>
      </c>
      <c r="BH88" s="6">
        <v>0.52678800000000003</v>
      </c>
      <c r="BI88" s="6">
        <v>0.7</v>
      </c>
      <c r="BJ88" s="6"/>
      <c r="BK88" s="6" t="s">
        <v>67</v>
      </c>
      <c r="BL88" s="6" t="s">
        <v>74</v>
      </c>
      <c r="BM88" s="6" t="s">
        <v>102</v>
      </c>
      <c r="BN88" s="6" t="s">
        <v>70</v>
      </c>
    </row>
    <row r="89" spans="1:66">
      <c r="A89" s="1" t="s">
        <v>199</v>
      </c>
      <c r="B89" s="1">
        <v>2020</v>
      </c>
      <c r="C89" s="1" t="s">
        <v>126</v>
      </c>
      <c r="D89" s="1">
        <v>8405304</v>
      </c>
      <c r="E89" s="1">
        <v>13923430</v>
      </c>
      <c r="F89" s="1">
        <v>23880958</v>
      </c>
      <c r="G89" s="1">
        <v>7419447</v>
      </c>
      <c r="H89" s="2">
        <f t="shared" si="15"/>
        <v>31300405</v>
      </c>
      <c r="I89" s="2">
        <f>H89+E89</f>
        <v>45223835</v>
      </c>
      <c r="J89" s="1">
        <v>35630875</v>
      </c>
      <c r="K89" s="2">
        <f t="shared" si="16"/>
        <v>53629139</v>
      </c>
      <c r="L89" s="1">
        <v>89260014</v>
      </c>
      <c r="M89" s="1">
        <v>24137314</v>
      </c>
      <c r="N89" s="1">
        <v>7290295</v>
      </c>
      <c r="O89" s="4">
        <f t="shared" si="17"/>
        <v>31427609</v>
      </c>
      <c r="P89" s="1">
        <v>16794724</v>
      </c>
      <c r="Q89" s="4">
        <f t="shared" si="18"/>
        <v>48222333</v>
      </c>
      <c r="R89" s="1">
        <v>14908372</v>
      </c>
      <c r="S89" s="1">
        <v>13037624</v>
      </c>
      <c r="T89" s="4">
        <f t="shared" si="19"/>
        <v>27945996</v>
      </c>
      <c r="U89" s="1">
        <v>76168329</v>
      </c>
      <c r="V89" s="1">
        <v>2020</v>
      </c>
      <c r="W89" s="8">
        <v>21703914</v>
      </c>
      <c r="X89" s="1">
        <v>0.375</v>
      </c>
      <c r="Y89" s="1">
        <v>0</v>
      </c>
      <c r="Z89" s="1">
        <v>0</v>
      </c>
      <c r="AA89" s="1">
        <v>198200000</v>
      </c>
      <c r="AB89" s="1">
        <v>4.2408193743693236E-2</v>
      </c>
      <c r="AC89" s="1">
        <v>7.0249394550958633E-2</v>
      </c>
      <c r="AD89" s="1">
        <v>0.12048919273461151</v>
      </c>
      <c r="AE89" s="1">
        <v>3.7434142280524725E-2</v>
      </c>
      <c r="AF89" s="2">
        <f t="shared" si="20"/>
        <v>0.15792333501513622</v>
      </c>
      <c r="AG89" s="2">
        <f>AF89+AC89</f>
        <v>0.22817272956609486</v>
      </c>
      <c r="AH89" s="1">
        <v>0.17977232593340062</v>
      </c>
      <c r="AI89" s="2">
        <f t="shared" si="21"/>
        <v>0.27058092330978811</v>
      </c>
      <c r="AJ89" s="1">
        <v>0.12178261352169525</v>
      </c>
      <c r="AK89" s="1">
        <v>3.6782517658930376E-2</v>
      </c>
      <c r="AL89" s="4">
        <f t="shared" si="22"/>
        <v>0.15856513118062562</v>
      </c>
      <c r="AM89" s="1">
        <v>8.4736246215943486E-2</v>
      </c>
      <c r="AN89" s="4">
        <f t="shared" si="23"/>
        <v>0.2433013773965691</v>
      </c>
      <c r="AO89" s="1">
        <v>7.5218829465186682E-2</v>
      </c>
      <c r="AP89" s="1">
        <v>6.5780141271442993E-2</v>
      </c>
      <c r="AQ89" s="4">
        <f t="shared" si="24"/>
        <v>0.14099897073662968</v>
      </c>
      <c r="AR89" s="1">
        <v>0.3843003481331988</v>
      </c>
      <c r="AS89" s="1">
        <v>0.4503532492431887</v>
      </c>
      <c r="AT89" s="1">
        <v>0.16534640262361244</v>
      </c>
      <c r="AU89" s="1">
        <f t="shared" si="25"/>
        <v>0.10950511604439959</v>
      </c>
      <c r="AV89" s="1">
        <v>6</v>
      </c>
      <c r="AW89">
        <v>280</v>
      </c>
      <c r="AX89">
        <v>357</v>
      </c>
      <c r="AY89" s="6">
        <v>31</v>
      </c>
      <c r="AZ89" s="6">
        <v>9</v>
      </c>
      <c r="BA89" s="11">
        <f t="shared" si="26"/>
        <v>17.5</v>
      </c>
      <c r="BB89">
        <f t="shared" si="27"/>
        <v>22.3125</v>
      </c>
      <c r="BC89">
        <f t="shared" si="28"/>
        <v>-77</v>
      </c>
      <c r="BD89">
        <f t="shared" si="29"/>
        <v>-4.8125</v>
      </c>
      <c r="BE89" s="10">
        <v>5.8261684335163597</v>
      </c>
      <c r="BF89" s="6">
        <v>25.852460000000001</v>
      </c>
      <c r="BG89" s="6">
        <v>26.80378</v>
      </c>
      <c r="BH89" s="6">
        <v>0.568666</v>
      </c>
      <c r="BI89" s="6">
        <v>0.44262299999999999</v>
      </c>
      <c r="BJ89" s="6"/>
      <c r="BK89" s="6" t="s">
        <v>73</v>
      </c>
      <c r="BL89" s="6" t="s">
        <v>74</v>
      </c>
      <c r="BM89" s="6" t="s">
        <v>75</v>
      </c>
      <c r="BN89" s="6" t="s">
        <v>75</v>
      </c>
    </row>
    <row r="90" spans="1:66">
      <c r="A90" s="1" t="s">
        <v>200</v>
      </c>
      <c r="B90" s="1">
        <v>2020</v>
      </c>
      <c r="C90" s="1" t="s">
        <v>128</v>
      </c>
      <c r="D90" s="1">
        <v>10741087</v>
      </c>
      <c r="E90" s="1">
        <v>2359512</v>
      </c>
      <c r="F90" s="1">
        <v>20094445</v>
      </c>
      <c r="G90" s="1">
        <v>6041573</v>
      </c>
      <c r="H90" s="2">
        <f t="shared" si="15"/>
        <v>26136018</v>
      </c>
      <c r="I90" s="2">
        <f>H90+E90</f>
        <v>28495530</v>
      </c>
      <c r="J90" s="1">
        <v>30068651</v>
      </c>
      <c r="K90" s="2">
        <f t="shared" si="16"/>
        <v>39236617</v>
      </c>
      <c r="L90" s="1">
        <v>69305268</v>
      </c>
      <c r="M90" s="1">
        <v>18519603</v>
      </c>
      <c r="N90" s="1">
        <v>7043171</v>
      </c>
      <c r="O90" s="4">
        <f t="shared" si="17"/>
        <v>25562774</v>
      </c>
      <c r="P90" s="1">
        <v>16895382</v>
      </c>
      <c r="Q90" s="4">
        <f t="shared" si="18"/>
        <v>42458156</v>
      </c>
      <c r="R90" s="1">
        <v>8641644</v>
      </c>
      <c r="S90" s="1">
        <v>9088228</v>
      </c>
      <c r="T90" s="4">
        <f t="shared" si="19"/>
        <v>17729872</v>
      </c>
      <c r="U90" s="1">
        <v>60188028</v>
      </c>
      <c r="V90" s="1">
        <v>2020</v>
      </c>
      <c r="W90" s="8">
        <v>42323265</v>
      </c>
      <c r="X90" s="1">
        <v>0.125</v>
      </c>
      <c r="Y90" s="1">
        <v>0</v>
      </c>
      <c r="Z90" s="1">
        <v>0</v>
      </c>
      <c r="AA90" s="1">
        <v>198200000</v>
      </c>
      <c r="AB90" s="1">
        <v>5.4193173562058529E-2</v>
      </c>
      <c r="AC90" s="1">
        <v>1.1904702320887991E-2</v>
      </c>
      <c r="AD90" s="1">
        <v>0.10138468718466195</v>
      </c>
      <c r="AE90" s="1">
        <v>3.048220484359233E-2</v>
      </c>
      <c r="AF90" s="2">
        <f t="shared" si="20"/>
        <v>0.13186689202825427</v>
      </c>
      <c r="AG90" s="2">
        <f>AF90+AC90</f>
        <v>0.14377159434914227</v>
      </c>
      <c r="AH90" s="1">
        <v>0.15170863269424822</v>
      </c>
      <c r="AI90" s="2">
        <f t="shared" si="21"/>
        <v>0.1979647679112008</v>
      </c>
      <c r="AJ90" s="1">
        <v>9.3438965691220982E-2</v>
      </c>
      <c r="AK90" s="1">
        <v>3.5535676084762866E-2</v>
      </c>
      <c r="AL90" s="4">
        <f t="shared" si="22"/>
        <v>0.12897464177598383</v>
      </c>
      <c r="AM90" s="1">
        <v>8.5244106962663976E-2</v>
      </c>
      <c r="AN90" s="4">
        <f t="shared" si="23"/>
        <v>0.21421874873864782</v>
      </c>
      <c r="AO90" s="1">
        <v>4.3600625630676085E-2</v>
      </c>
      <c r="AP90" s="1">
        <v>4.5853824419778005E-2</v>
      </c>
      <c r="AQ90" s="4">
        <f t="shared" si="24"/>
        <v>8.945445005045409E-2</v>
      </c>
      <c r="AR90" s="1">
        <v>0.30367319878910193</v>
      </c>
      <c r="AS90" s="1">
        <v>0.34967340060544905</v>
      </c>
      <c r="AT90" s="1">
        <v>0.34665340060544902</v>
      </c>
      <c r="AU90" s="1">
        <f t="shared" si="25"/>
        <v>0.21353816851664986</v>
      </c>
      <c r="AV90" s="1">
        <v>2</v>
      </c>
      <c r="AW90">
        <v>243</v>
      </c>
      <c r="AX90">
        <v>457</v>
      </c>
      <c r="AY90" s="6">
        <v>32</v>
      </c>
      <c r="AZ90" s="6">
        <v>26</v>
      </c>
      <c r="BA90" s="11">
        <f t="shared" si="26"/>
        <v>15.1875</v>
      </c>
      <c r="BB90">
        <f t="shared" si="27"/>
        <v>28.5625</v>
      </c>
      <c r="BC90">
        <f t="shared" si="28"/>
        <v>-214</v>
      </c>
      <c r="BD90">
        <f t="shared" si="29"/>
        <v>-13.375</v>
      </c>
      <c r="BE90" s="10">
        <v>1.84724084120647</v>
      </c>
      <c r="BF90" s="6">
        <v>25.63636</v>
      </c>
      <c r="BG90" s="6">
        <v>26.42268</v>
      </c>
      <c r="BH90" s="6">
        <v>0.60426999999999997</v>
      </c>
      <c r="BI90" s="6">
        <v>0.46969699999999998</v>
      </c>
      <c r="BJ90" s="6"/>
      <c r="BK90" s="6" t="s">
        <v>73</v>
      </c>
      <c r="BL90" s="6" t="s">
        <v>68</v>
      </c>
      <c r="BM90" s="6" t="s">
        <v>99</v>
      </c>
      <c r="BN90" s="6" t="s">
        <v>93</v>
      </c>
    </row>
    <row r="91" spans="1:66">
      <c r="A91" s="1" t="s">
        <v>201</v>
      </c>
      <c r="B91" s="1">
        <v>2020</v>
      </c>
      <c r="C91" s="1" t="s">
        <v>130</v>
      </c>
      <c r="D91" s="1">
        <v>21452022</v>
      </c>
      <c r="E91" s="1">
        <v>3762174</v>
      </c>
      <c r="F91" s="1">
        <v>29943350</v>
      </c>
      <c r="G91" s="1">
        <v>15435113</v>
      </c>
      <c r="H91" s="2">
        <f t="shared" si="15"/>
        <v>45378463</v>
      </c>
      <c r="I91" s="2">
        <f>H91+E91</f>
        <v>49140637</v>
      </c>
      <c r="J91" s="1">
        <v>39993612</v>
      </c>
      <c r="K91" s="2">
        <f t="shared" si="16"/>
        <v>70592659</v>
      </c>
      <c r="L91" s="1">
        <v>110586271</v>
      </c>
      <c r="M91" s="1">
        <v>26475772</v>
      </c>
      <c r="N91" s="1">
        <v>12152197</v>
      </c>
      <c r="O91" s="4">
        <f t="shared" si="17"/>
        <v>38627969</v>
      </c>
      <c r="P91" s="1">
        <v>5348034</v>
      </c>
      <c r="Q91" s="4">
        <f t="shared" si="18"/>
        <v>43976003</v>
      </c>
      <c r="R91" s="1">
        <v>9032645</v>
      </c>
      <c r="S91" s="1">
        <v>8624266</v>
      </c>
      <c r="T91" s="4">
        <f t="shared" si="19"/>
        <v>17656911</v>
      </c>
      <c r="U91" s="1">
        <v>61632914</v>
      </c>
      <c r="V91" s="1">
        <v>2020</v>
      </c>
      <c r="W91" s="8">
        <v>36683384</v>
      </c>
      <c r="X91" s="1">
        <v>0.28100000000000003</v>
      </c>
      <c r="Y91" s="1">
        <v>0</v>
      </c>
      <c r="Z91" s="1">
        <v>0</v>
      </c>
      <c r="AA91" s="1">
        <v>198200000</v>
      </c>
      <c r="AB91" s="1">
        <v>0.10823421796165489</v>
      </c>
      <c r="AC91" s="1">
        <v>1.8981705348133197E-2</v>
      </c>
      <c r="AD91" s="1">
        <v>0.15107643794147327</v>
      </c>
      <c r="AE91" s="1">
        <v>7.787645307769929E-2</v>
      </c>
      <c r="AF91" s="2">
        <f t="shared" si="20"/>
        <v>0.22895289101917254</v>
      </c>
      <c r="AG91" s="2">
        <f>AF91+AC91</f>
        <v>0.24793459636730575</v>
      </c>
      <c r="AH91" s="1">
        <v>0.20178411705348134</v>
      </c>
      <c r="AI91" s="2">
        <f t="shared" si="21"/>
        <v>0.35616881432896064</v>
      </c>
      <c r="AJ91" s="1">
        <v>0.13358108980827446</v>
      </c>
      <c r="AK91" s="1">
        <v>6.1312800201816349E-2</v>
      </c>
      <c r="AL91" s="4">
        <f t="shared" si="22"/>
        <v>0.1948938900100908</v>
      </c>
      <c r="AM91" s="1">
        <v>2.6983017154389506E-2</v>
      </c>
      <c r="AN91" s="4">
        <f t="shared" si="23"/>
        <v>0.2218769071644803</v>
      </c>
      <c r="AO91" s="1">
        <v>4.5573385469223009E-2</v>
      </c>
      <c r="AP91" s="1">
        <v>4.3512946518668015E-2</v>
      </c>
      <c r="AQ91" s="4">
        <f t="shared" si="24"/>
        <v>8.9086331987891024E-2</v>
      </c>
      <c r="AR91" s="1">
        <v>0.31096323915237134</v>
      </c>
      <c r="AS91" s="1">
        <v>0.55795293138244195</v>
      </c>
      <c r="AT91" s="1">
        <v>0.13108382946518671</v>
      </c>
      <c r="AU91" s="1">
        <f t="shared" si="25"/>
        <v>0.18508266397578205</v>
      </c>
      <c r="AV91" s="1">
        <v>4</v>
      </c>
      <c r="AW91">
        <v>334</v>
      </c>
      <c r="AX91">
        <v>418</v>
      </c>
      <c r="AY91" s="6">
        <v>26</v>
      </c>
      <c r="AZ91" s="6">
        <v>20</v>
      </c>
      <c r="BA91" s="11">
        <f t="shared" si="26"/>
        <v>20.875</v>
      </c>
      <c r="BB91">
        <f t="shared" si="27"/>
        <v>26.125</v>
      </c>
      <c r="BC91">
        <f t="shared" si="28"/>
        <v>-84</v>
      </c>
      <c r="BD91">
        <f t="shared" si="29"/>
        <v>-5.25</v>
      </c>
      <c r="BE91" s="10">
        <v>5.6228655638362897</v>
      </c>
      <c r="BF91" s="6">
        <v>25.884060000000002</v>
      </c>
      <c r="BG91" s="6">
        <v>28.72071</v>
      </c>
      <c r="BH91" s="6">
        <v>0.64983900000000006</v>
      </c>
      <c r="BI91" s="6">
        <v>0.62318799999999996</v>
      </c>
      <c r="BJ91" s="6"/>
      <c r="BK91" s="6" t="s">
        <v>67</v>
      </c>
      <c r="BL91" s="6" t="s">
        <v>96</v>
      </c>
      <c r="BM91" s="6" t="s">
        <v>70</v>
      </c>
      <c r="BN91" s="6" t="s">
        <v>70</v>
      </c>
    </row>
    <row r="92" spans="1:66">
      <c r="A92" s="1" t="s">
        <v>202</v>
      </c>
      <c r="B92" s="1">
        <v>2020</v>
      </c>
      <c r="C92" s="1" t="s">
        <v>132</v>
      </c>
      <c r="D92" s="1">
        <v>25787420</v>
      </c>
      <c r="E92" s="1">
        <v>3152932</v>
      </c>
      <c r="F92" s="1">
        <v>5904043</v>
      </c>
      <c r="G92" s="1">
        <v>8917978</v>
      </c>
      <c r="H92" s="2">
        <f t="shared" si="15"/>
        <v>14822021</v>
      </c>
      <c r="I92" s="2">
        <f>H92+E92</f>
        <v>17974953</v>
      </c>
      <c r="J92" s="1">
        <v>34322786</v>
      </c>
      <c r="K92" s="2">
        <f t="shared" si="16"/>
        <v>43762373</v>
      </c>
      <c r="L92" s="1">
        <v>78085159</v>
      </c>
      <c r="M92" s="1">
        <v>31946840</v>
      </c>
      <c r="N92" s="1">
        <v>20928988</v>
      </c>
      <c r="O92" s="4">
        <f t="shared" si="17"/>
        <v>52875828</v>
      </c>
      <c r="P92" s="1">
        <v>14097958</v>
      </c>
      <c r="Q92" s="4">
        <f t="shared" si="18"/>
        <v>66973786</v>
      </c>
      <c r="R92" s="1">
        <v>7531643</v>
      </c>
      <c r="S92" s="1">
        <v>22491577</v>
      </c>
      <c r="T92" s="4">
        <f t="shared" si="19"/>
        <v>30023220</v>
      </c>
      <c r="U92" s="1">
        <v>96997006</v>
      </c>
      <c r="V92" s="1">
        <v>2020</v>
      </c>
      <c r="W92" s="8">
        <v>33062935</v>
      </c>
      <c r="X92" s="1">
        <v>0.75</v>
      </c>
      <c r="Y92" s="1">
        <v>1</v>
      </c>
      <c r="Z92" s="1">
        <v>0</v>
      </c>
      <c r="AA92" s="1">
        <v>198200000</v>
      </c>
      <c r="AB92" s="1">
        <v>0.13010807265388497</v>
      </c>
      <c r="AC92" s="1">
        <v>1.5907830474268414E-2</v>
      </c>
      <c r="AD92" s="1">
        <v>2.9788309788092836E-2</v>
      </c>
      <c r="AE92" s="1">
        <v>4.4994843592330976E-2</v>
      </c>
      <c r="AF92" s="2">
        <f t="shared" si="20"/>
        <v>7.4783153380423809E-2</v>
      </c>
      <c r="AG92" s="2">
        <f>AF92+AC92</f>
        <v>9.0690983854692223E-2</v>
      </c>
      <c r="AH92" s="1">
        <v>0.17317248234106963</v>
      </c>
      <c r="AI92" s="2">
        <f t="shared" si="21"/>
        <v>0.22079905650857717</v>
      </c>
      <c r="AJ92" s="1">
        <v>0.16118486377396568</v>
      </c>
      <c r="AK92" s="1">
        <v>0.10559529767911201</v>
      </c>
      <c r="AL92" s="4">
        <f t="shared" si="22"/>
        <v>0.2667801614530777</v>
      </c>
      <c r="AM92" s="1">
        <v>7.1129959636730578E-2</v>
      </c>
      <c r="AN92" s="4">
        <f t="shared" si="23"/>
        <v>0.33791012108980828</v>
      </c>
      <c r="AO92" s="1">
        <v>3.8000216952573156E-2</v>
      </c>
      <c r="AP92" s="1">
        <v>0.11347919778002018</v>
      </c>
      <c r="AQ92" s="4">
        <f t="shared" si="24"/>
        <v>0.15147941473259333</v>
      </c>
      <c r="AR92" s="1">
        <v>0.48938953582240163</v>
      </c>
      <c r="AS92" s="1">
        <v>0.39397153884964681</v>
      </c>
      <c r="AT92" s="1">
        <v>0.11663892532795161</v>
      </c>
      <c r="AU92" s="1">
        <f t="shared" si="25"/>
        <v>0.16681601917255298</v>
      </c>
      <c r="AV92" s="1">
        <v>12</v>
      </c>
      <c r="AW92">
        <v>416</v>
      </c>
      <c r="AX92">
        <v>312</v>
      </c>
      <c r="AY92" s="6">
        <v>12</v>
      </c>
      <c r="AZ92" s="6">
        <v>3</v>
      </c>
      <c r="BA92" s="11">
        <f t="shared" si="26"/>
        <v>26</v>
      </c>
      <c r="BB92">
        <f t="shared" si="27"/>
        <v>19.5</v>
      </c>
      <c r="BC92">
        <f t="shared" si="28"/>
        <v>104</v>
      </c>
      <c r="BD92">
        <f t="shared" si="29"/>
        <v>6.5</v>
      </c>
      <c r="BE92" s="10">
        <v>11.082999778101</v>
      </c>
      <c r="BF92" s="6">
        <v>26.133330000000001</v>
      </c>
      <c r="BG92" s="6">
        <v>29.118770000000001</v>
      </c>
      <c r="BH92" s="6">
        <v>0.61740200000000001</v>
      </c>
      <c r="BI92" s="6">
        <v>0.68333299999999997</v>
      </c>
      <c r="BJ92" s="6"/>
      <c r="BK92" s="6" t="s">
        <v>67</v>
      </c>
      <c r="BL92" s="6" t="s">
        <v>68</v>
      </c>
      <c r="BM92" s="6" t="s">
        <v>69</v>
      </c>
      <c r="BN92" s="6" t="s">
        <v>70</v>
      </c>
    </row>
    <row r="93" spans="1:66">
      <c r="A93" s="1" t="s">
        <v>203</v>
      </c>
      <c r="B93" s="1">
        <v>2020</v>
      </c>
      <c r="C93" s="1" t="s">
        <v>134</v>
      </c>
      <c r="D93" s="1">
        <v>28656986</v>
      </c>
      <c r="E93" s="1">
        <v>12651495</v>
      </c>
      <c r="F93" s="1">
        <v>11274168</v>
      </c>
      <c r="G93" s="1">
        <v>8237185</v>
      </c>
      <c r="H93" s="2">
        <f t="shared" si="15"/>
        <v>19511353</v>
      </c>
      <c r="I93" s="2">
        <f>H93+E93</f>
        <v>32162848</v>
      </c>
      <c r="J93" s="1">
        <v>34553407</v>
      </c>
      <c r="K93" s="2">
        <f t="shared" si="16"/>
        <v>60819834</v>
      </c>
      <c r="L93" s="1">
        <v>95373241</v>
      </c>
      <c r="M93" s="1">
        <v>12427647</v>
      </c>
      <c r="N93" s="1">
        <v>27179317</v>
      </c>
      <c r="O93" s="4">
        <f t="shared" si="17"/>
        <v>39606964</v>
      </c>
      <c r="P93" s="1">
        <v>4658200</v>
      </c>
      <c r="Q93" s="4">
        <f t="shared" si="18"/>
        <v>44265164</v>
      </c>
      <c r="R93" s="1">
        <v>12992886</v>
      </c>
      <c r="S93" s="1">
        <v>23135002</v>
      </c>
      <c r="T93" s="4">
        <f t="shared" si="19"/>
        <v>36127888</v>
      </c>
      <c r="U93" s="1">
        <v>80393052</v>
      </c>
      <c r="V93" s="1">
        <v>2020</v>
      </c>
      <c r="W93" s="8">
        <v>84851447</v>
      </c>
      <c r="X93" s="1">
        <v>0.375</v>
      </c>
      <c r="Y93" s="1">
        <v>0</v>
      </c>
      <c r="Z93" s="1">
        <v>0</v>
      </c>
      <c r="AA93" s="1">
        <v>198200000</v>
      </c>
      <c r="AB93" s="1">
        <v>0.14458620585267407</v>
      </c>
      <c r="AC93" s="1">
        <v>6.3831962663975783E-2</v>
      </c>
      <c r="AD93" s="1">
        <v>5.6882785065590316E-2</v>
      </c>
      <c r="AE93" s="1">
        <v>4.1559964682139253E-2</v>
      </c>
      <c r="AF93" s="2">
        <f t="shared" si="20"/>
        <v>9.8442749747729569E-2</v>
      </c>
      <c r="AG93" s="2">
        <f>AF93+AC93</f>
        <v>0.16227471241170535</v>
      </c>
      <c r="AH93" s="1">
        <v>0.1743360595358224</v>
      </c>
      <c r="AI93" s="2">
        <f t="shared" si="21"/>
        <v>0.30686091826437939</v>
      </c>
      <c r="AJ93" s="1">
        <v>6.2702558022199803E-2</v>
      </c>
      <c r="AK93" s="1">
        <v>0.13713076185671039</v>
      </c>
      <c r="AL93" s="4">
        <f t="shared" si="22"/>
        <v>0.19983331987891018</v>
      </c>
      <c r="AM93" s="1">
        <v>2.350252270433905E-2</v>
      </c>
      <c r="AN93" s="4">
        <f t="shared" si="23"/>
        <v>0.22333584258324923</v>
      </c>
      <c r="AO93" s="1">
        <v>6.5554419778002013E-2</v>
      </c>
      <c r="AP93" s="1">
        <v>0.11672553985872856</v>
      </c>
      <c r="AQ93" s="4">
        <f t="shared" si="24"/>
        <v>0.18227995963673058</v>
      </c>
      <c r="AR93" s="1">
        <v>0.40561580221997984</v>
      </c>
      <c r="AS93" s="1">
        <v>0.48119697780020182</v>
      </c>
      <c r="AT93" s="1">
        <v>0.11318721997981829</v>
      </c>
      <c r="AU93" s="1">
        <f t="shared" si="25"/>
        <v>0.42811022704339052</v>
      </c>
      <c r="AV93" s="1">
        <v>6</v>
      </c>
      <c r="AW93">
        <v>376</v>
      </c>
      <c r="AX93">
        <v>390</v>
      </c>
      <c r="AY93" s="6">
        <v>21</v>
      </c>
      <c r="AZ93" s="6">
        <v>17</v>
      </c>
      <c r="BA93" s="11">
        <f t="shared" si="26"/>
        <v>23.5</v>
      </c>
      <c r="BB93">
        <f t="shared" si="27"/>
        <v>24.375</v>
      </c>
      <c r="BC93">
        <f t="shared" si="28"/>
        <v>-14</v>
      </c>
      <c r="BD93">
        <f t="shared" si="29"/>
        <v>-0.875</v>
      </c>
      <c r="BE93" s="10">
        <v>7.65589426063696</v>
      </c>
      <c r="BF93" s="6">
        <v>26.58333</v>
      </c>
      <c r="BG93" s="6">
        <v>28.116769999999999</v>
      </c>
      <c r="BH93" s="6">
        <v>0.62536999999999998</v>
      </c>
      <c r="BI93" s="6">
        <v>0.59722200000000003</v>
      </c>
      <c r="BJ93" s="6"/>
      <c r="BK93" s="6" t="s">
        <v>80</v>
      </c>
      <c r="BL93" s="6" t="s">
        <v>68</v>
      </c>
      <c r="BM93" s="6" t="s">
        <v>92</v>
      </c>
      <c r="BN93" s="6" t="s">
        <v>70</v>
      </c>
    </row>
    <row r="94" spans="1:66">
      <c r="A94" s="1" t="s">
        <v>204</v>
      </c>
      <c r="B94" s="1">
        <v>2020</v>
      </c>
      <c r="C94" s="1" t="s">
        <v>136</v>
      </c>
      <c r="D94" s="1">
        <v>32063900</v>
      </c>
      <c r="E94" s="1">
        <v>9951728</v>
      </c>
      <c r="F94" s="1">
        <v>16222301</v>
      </c>
      <c r="G94" s="1">
        <v>12094038</v>
      </c>
      <c r="H94" s="2">
        <f t="shared" si="15"/>
        <v>28316339</v>
      </c>
      <c r="I94" s="2">
        <f>H94+E94</f>
        <v>38268067</v>
      </c>
      <c r="J94" s="1">
        <v>26646044</v>
      </c>
      <c r="K94" s="2">
        <f t="shared" si="16"/>
        <v>70331967</v>
      </c>
      <c r="L94" s="1">
        <v>96978011</v>
      </c>
      <c r="M94" s="1">
        <v>11979291</v>
      </c>
      <c r="N94" s="1">
        <v>11274881</v>
      </c>
      <c r="O94" s="4">
        <f t="shared" si="17"/>
        <v>23254172</v>
      </c>
      <c r="P94" s="1">
        <v>33886063</v>
      </c>
      <c r="Q94" s="4">
        <f t="shared" si="18"/>
        <v>57140235</v>
      </c>
      <c r="R94" s="1">
        <v>11699875</v>
      </c>
      <c r="S94" s="1">
        <v>10554173</v>
      </c>
      <c r="T94" s="4">
        <f t="shared" si="19"/>
        <v>22254048</v>
      </c>
      <c r="U94" s="1">
        <v>79394283</v>
      </c>
      <c r="V94" s="1">
        <v>2020</v>
      </c>
      <c r="W94" s="8">
        <v>17939400</v>
      </c>
      <c r="X94" s="1">
        <v>0.75</v>
      </c>
      <c r="Y94" s="1">
        <v>1</v>
      </c>
      <c r="Z94" s="1">
        <v>0</v>
      </c>
      <c r="AA94" s="1">
        <v>198200000</v>
      </c>
      <c r="AB94" s="1">
        <v>0.16177547931382441</v>
      </c>
      <c r="AC94" s="1">
        <v>5.0210534813319878E-2</v>
      </c>
      <c r="AD94" s="1">
        <v>8.1848138244197774E-2</v>
      </c>
      <c r="AE94" s="1">
        <v>6.1019364278506558E-2</v>
      </c>
      <c r="AF94" s="2">
        <f t="shared" si="20"/>
        <v>0.14286750252270433</v>
      </c>
      <c r="AG94" s="2">
        <f>AF94+AC94</f>
        <v>0.19307803733602422</v>
      </c>
      <c r="AH94" s="1">
        <v>0.13444018163471241</v>
      </c>
      <c r="AI94" s="2">
        <f t="shared" si="21"/>
        <v>0.35485351664984865</v>
      </c>
      <c r="AJ94" s="1">
        <v>6.0440418768920284E-2</v>
      </c>
      <c r="AK94" s="1">
        <v>5.6886382441977801E-2</v>
      </c>
      <c r="AL94" s="4">
        <f t="shared" si="22"/>
        <v>0.11732680121089809</v>
      </c>
      <c r="AM94" s="1">
        <v>0.17096903632694249</v>
      </c>
      <c r="AN94" s="4">
        <f t="shared" si="23"/>
        <v>0.2882958375378406</v>
      </c>
      <c r="AO94" s="1">
        <v>5.9030650857719476E-2</v>
      </c>
      <c r="AP94" s="1">
        <v>5.3250116044399595E-2</v>
      </c>
      <c r="AQ94" s="4">
        <f t="shared" si="24"/>
        <v>0.11228076690211908</v>
      </c>
      <c r="AR94" s="1">
        <v>0.40057660443995963</v>
      </c>
      <c r="AS94" s="1">
        <v>0.48929369828456104</v>
      </c>
      <c r="AT94" s="1">
        <v>0.11012969727547928</v>
      </c>
      <c r="AU94" s="1">
        <f t="shared" si="25"/>
        <v>9.0511604439959634E-2</v>
      </c>
      <c r="AV94" s="1">
        <v>12</v>
      </c>
      <c r="AW94">
        <v>459</v>
      </c>
      <c r="AX94">
        <v>371</v>
      </c>
      <c r="AY94" s="6">
        <v>8</v>
      </c>
      <c r="AZ94" s="6">
        <v>15</v>
      </c>
      <c r="BA94" s="11">
        <f t="shared" si="26"/>
        <v>28.6875</v>
      </c>
      <c r="BB94">
        <f t="shared" si="27"/>
        <v>23.1875</v>
      </c>
      <c r="BC94">
        <f t="shared" si="28"/>
        <v>88</v>
      </c>
      <c r="BD94">
        <f t="shared" si="29"/>
        <v>5.5</v>
      </c>
      <c r="BE94" s="10">
        <v>10.6183075045465</v>
      </c>
      <c r="BF94" s="6">
        <v>26.430769999999999</v>
      </c>
      <c r="BG94" s="6">
        <v>29.285049999999998</v>
      </c>
      <c r="BH94" s="6">
        <v>0.61999400000000005</v>
      </c>
      <c r="BI94" s="6">
        <v>0.56923100000000004</v>
      </c>
      <c r="BJ94" s="6"/>
      <c r="BK94" s="6" t="s">
        <v>67</v>
      </c>
      <c r="BL94" s="6" t="s">
        <v>68</v>
      </c>
      <c r="BM94" s="6" t="s">
        <v>69</v>
      </c>
      <c r="BN94" s="6" t="s">
        <v>70</v>
      </c>
    </row>
    <row r="95" spans="1:66">
      <c r="A95" s="1" t="s">
        <v>205</v>
      </c>
      <c r="B95" s="1">
        <v>2020</v>
      </c>
      <c r="C95" s="1" t="s">
        <v>138</v>
      </c>
      <c r="D95" s="1">
        <v>27556500</v>
      </c>
      <c r="E95" s="1">
        <v>6969905</v>
      </c>
      <c r="F95" s="1">
        <v>14576858</v>
      </c>
      <c r="G95" s="1">
        <v>19792747</v>
      </c>
      <c r="H95" s="2">
        <f t="shared" si="15"/>
        <v>34369605</v>
      </c>
      <c r="I95" s="2">
        <f>H95+E95</f>
        <v>41339510</v>
      </c>
      <c r="J95" s="1">
        <v>40217623</v>
      </c>
      <c r="K95" s="2">
        <f t="shared" si="16"/>
        <v>68896010</v>
      </c>
      <c r="L95" s="1">
        <v>109113633</v>
      </c>
      <c r="M95" s="1">
        <v>20612811</v>
      </c>
      <c r="N95" s="1">
        <v>29946760</v>
      </c>
      <c r="O95" s="4">
        <f t="shared" si="17"/>
        <v>50559571</v>
      </c>
      <c r="P95" s="1">
        <v>19483225</v>
      </c>
      <c r="Q95" s="4">
        <f t="shared" si="18"/>
        <v>70042796</v>
      </c>
      <c r="R95" s="1">
        <v>4118737</v>
      </c>
      <c r="S95" s="1">
        <v>6385738</v>
      </c>
      <c r="T95" s="4">
        <f t="shared" si="19"/>
        <v>10504475</v>
      </c>
      <c r="U95" s="1">
        <v>80547271</v>
      </c>
      <c r="V95" s="1">
        <v>2020</v>
      </c>
      <c r="W95" s="8">
        <v>6636768</v>
      </c>
      <c r="X95" s="1">
        <v>0.68799999999999994</v>
      </c>
      <c r="Y95" s="1">
        <v>1</v>
      </c>
      <c r="Z95" s="1">
        <v>1</v>
      </c>
      <c r="AA95" s="1">
        <v>198200000</v>
      </c>
      <c r="AB95" s="1">
        <v>0.13903380423814329</v>
      </c>
      <c r="AC95" s="1">
        <v>3.5166019172552979E-2</v>
      </c>
      <c r="AD95" s="1">
        <v>7.354620585267406E-2</v>
      </c>
      <c r="AE95" s="1">
        <v>9.9862497477295656E-2</v>
      </c>
      <c r="AF95" s="2">
        <f t="shared" si="20"/>
        <v>0.17340870332996972</v>
      </c>
      <c r="AG95" s="2">
        <f>AF95+AC95</f>
        <v>0.20857472250252268</v>
      </c>
      <c r="AH95" s="1">
        <v>0.20291434409687184</v>
      </c>
      <c r="AI95" s="2">
        <f t="shared" si="21"/>
        <v>0.347608526740666</v>
      </c>
      <c r="AJ95" s="1">
        <v>0.10400005549949545</v>
      </c>
      <c r="AK95" s="1">
        <v>0.1510936427850656</v>
      </c>
      <c r="AL95" s="4">
        <f t="shared" si="22"/>
        <v>0.25509369828456108</v>
      </c>
      <c r="AM95" s="1">
        <v>9.8300832492431892E-2</v>
      </c>
      <c r="AN95" s="4">
        <f t="shared" si="23"/>
        <v>0.35339453077699295</v>
      </c>
      <c r="AO95" s="1">
        <v>2.0780711402623612E-2</v>
      </c>
      <c r="AP95" s="1">
        <v>3.2218657921291624E-2</v>
      </c>
      <c r="AQ95" s="4">
        <f t="shared" si="24"/>
        <v>5.2999369323915232E-2</v>
      </c>
      <c r="AR95" s="1">
        <v>0.4063939001009082</v>
      </c>
      <c r="AS95" s="1">
        <v>0.55052287083753781</v>
      </c>
      <c r="AT95" s="1">
        <v>4.3083229061553929E-2</v>
      </c>
      <c r="AU95" s="1">
        <f t="shared" si="25"/>
        <v>3.3485206861755802E-2</v>
      </c>
      <c r="AV95" s="1">
        <v>11</v>
      </c>
      <c r="AW95">
        <v>492</v>
      </c>
      <c r="AX95">
        <v>355</v>
      </c>
      <c r="AY95" s="6">
        <v>3</v>
      </c>
      <c r="AZ95" s="6">
        <v>8</v>
      </c>
      <c r="BA95" s="11">
        <f t="shared" si="26"/>
        <v>30.75</v>
      </c>
      <c r="BB95">
        <f t="shared" si="27"/>
        <v>22.1875</v>
      </c>
      <c r="BC95">
        <f t="shared" si="28"/>
        <v>137</v>
      </c>
      <c r="BD95">
        <f t="shared" si="29"/>
        <v>8.5625</v>
      </c>
      <c r="BE95" s="10">
        <v>12.041427592307</v>
      </c>
      <c r="BF95" s="6">
        <v>27.114750000000001</v>
      </c>
      <c r="BG95" s="6">
        <v>29.764659999999999</v>
      </c>
      <c r="BH95" s="6">
        <v>0.62822999999999996</v>
      </c>
      <c r="BI95" s="6">
        <v>0.67213100000000003</v>
      </c>
      <c r="BJ95" s="6"/>
      <c r="BK95" s="6" t="s">
        <v>67</v>
      </c>
      <c r="BL95" s="6" t="s">
        <v>96</v>
      </c>
      <c r="BM95" s="6" t="s">
        <v>70</v>
      </c>
      <c r="BN95" s="6" t="s">
        <v>70</v>
      </c>
    </row>
    <row r="96" spans="1:66">
      <c r="A96" s="1" t="s">
        <v>206</v>
      </c>
      <c r="B96" s="1">
        <v>2020</v>
      </c>
      <c r="C96" s="1" t="s">
        <v>140</v>
      </c>
      <c r="D96" s="1">
        <v>23182000</v>
      </c>
      <c r="E96" s="1">
        <v>8686298</v>
      </c>
      <c r="F96" s="1">
        <v>21162541</v>
      </c>
      <c r="G96" s="1">
        <v>6544772</v>
      </c>
      <c r="H96" s="2">
        <f t="shared" si="15"/>
        <v>27707313</v>
      </c>
      <c r="I96" s="2">
        <f>H96+E96</f>
        <v>36393611</v>
      </c>
      <c r="J96" s="1">
        <v>47116265</v>
      </c>
      <c r="K96" s="2">
        <f t="shared" si="16"/>
        <v>59575611</v>
      </c>
      <c r="L96" s="1">
        <v>106691876</v>
      </c>
      <c r="M96" s="1">
        <v>14054420</v>
      </c>
      <c r="N96" s="1">
        <v>15690717</v>
      </c>
      <c r="O96" s="4">
        <f t="shared" si="17"/>
        <v>29745137</v>
      </c>
      <c r="P96" s="1">
        <v>7625164</v>
      </c>
      <c r="Q96" s="4">
        <f t="shared" si="18"/>
        <v>37370301</v>
      </c>
      <c r="R96" s="1">
        <v>13109660</v>
      </c>
      <c r="S96" s="1">
        <v>22134071</v>
      </c>
      <c r="T96" s="4">
        <f t="shared" si="19"/>
        <v>35243731</v>
      </c>
      <c r="U96" s="1">
        <v>72614032</v>
      </c>
      <c r="V96" s="1">
        <v>2020</v>
      </c>
      <c r="W96" s="8">
        <v>49061672</v>
      </c>
      <c r="X96" s="1">
        <v>0.68799999999999994</v>
      </c>
      <c r="Y96" s="1">
        <v>1</v>
      </c>
      <c r="Z96" s="1">
        <v>0</v>
      </c>
      <c r="AA96" s="1">
        <v>198200000</v>
      </c>
      <c r="AB96" s="1">
        <v>0.11696266397578203</v>
      </c>
      <c r="AC96" s="1">
        <v>4.3825923309788094E-2</v>
      </c>
      <c r="AD96" s="1">
        <v>0.10677366801210898</v>
      </c>
      <c r="AE96" s="1">
        <v>3.3021049445005043E-2</v>
      </c>
      <c r="AF96" s="2">
        <f t="shared" si="20"/>
        <v>0.13979471745711403</v>
      </c>
      <c r="AG96" s="2">
        <f>AF96+AC96</f>
        <v>0.18362064076690213</v>
      </c>
      <c r="AH96" s="1">
        <v>0.23772081231079717</v>
      </c>
      <c r="AI96" s="2">
        <f t="shared" si="21"/>
        <v>0.30058330474268419</v>
      </c>
      <c r="AJ96" s="1">
        <v>7.0910292633703326E-2</v>
      </c>
      <c r="AK96" s="1">
        <v>7.9166079717457108E-2</v>
      </c>
      <c r="AL96" s="4">
        <f t="shared" si="22"/>
        <v>0.15007637235116045</v>
      </c>
      <c r="AM96" s="1">
        <v>3.8472068617558024E-2</v>
      </c>
      <c r="AN96" s="4">
        <f t="shared" si="23"/>
        <v>0.18854844096871848</v>
      </c>
      <c r="AO96" s="1">
        <v>6.6143592330978815E-2</v>
      </c>
      <c r="AP96" s="1">
        <v>0.11167543390514632</v>
      </c>
      <c r="AQ96" s="4">
        <f t="shared" si="24"/>
        <v>0.17781902623612514</v>
      </c>
      <c r="AR96" s="1">
        <v>0.36636746720484359</v>
      </c>
      <c r="AS96" s="1">
        <v>0.53830411705348136</v>
      </c>
      <c r="AT96" s="1">
        <v>9.5328415741675054E-2</v>
      </c>
      <c r="AU96" s="1">
        <f t="shared" si="25"/>
        <v>0.24753618567103935</v>
      </c>
      <c r="AV96" s="1">
        <v>11</v>
      </c>
      <c r="AW96">
        <v>491</v>
      </c>
      <c r="AX96">
        <v>439</v>
      </c>
      <c r="AY96" s="6">
        <v>4</v>
      </c>
      <c r="AZ96" s="6">
        <v>24</v>
      </c>
      <c r="BA96" s="11">
        <f t="shared" si="26"/>
        <v>30.6875</v>
      </c>
      <c r="BB96">
        <f t="shared" si="27"/>
        <v>27.4375</v>
      </c>
      <c r="BC96">
        <f t="shared" si="28"/>
        <v>52</v>
      </c>
      <c r="BD96">
        <f t="shared" si="29"/>
        <v>3.25</v>
      </c>
      <c r="BE96" s="10">
        <v>9.5727498890490192</v>
      </c>
      <c r="BF96" s="6">
        <v>26.655169999999998</v>
      </c>
      <c r="BG96" s="6">
        <v>28.385449999999999</v>
      </c>
      <c r="BH96" s="6">
        <v>0.64453099999999997</v>
      </c>
      <c r="BI96" s="6">
        <v>0.62068999999999996</v>
      </c>
      <c r="BJ96" s="6"/>
      <c r="BK96" s="6" t="s">
        <v>80</v>
      </c>
      <c r="BL96" s="6" t="s">
        <v>96</v>
      </c>
      <c r="BM96" s="6" t="s">
        <v>164</v>
      </c>
      <c r="BN96" s="6" t="s">
        <v>70</v>
      </c>
    </row>
    <row r="97" spans="1:66">
      <c r="A97" s="1" t="s">
        <v>207</v>
      </c>
      <c r="B97" s="1">
        <v>2020</v>
      </c>
      <c r="C97" s="1" t="s">
        <v>142</v>
      </c>
      <c r="D97" s="1">
        <v>21143235</v>
      </c>
      <c r="E97" s="1">
        <v>4636838</v>
      </c>
      <c r="F97" s="1">
        <v>5094070</v>
      </c>
      <c r="G97" s="1">
        <v>5735630</v>
      </c>
      <c r="H97" s="2">
        <f t="shared" si="15"/>
        <v>10829700</v>
      </c>
      <c r="I97" s="2">
        <f>H97+E97</f>
        <v>15466538</v>
      </c>
      <c r="J97" s="1">
        <v>37529075</v>
      </c>
      <c r="K97" s="2">
        <f t="shared" si="16"/>
        <v>36609773</v>
      </c>
      <c r="L97" s="1">
        <v>74138848</v>
      </c>
      <c r="M97" s="1">
        <v>14842436</v>
      </c>
      <c r="N97" s="1">
        <v>23435574</v>
      </c>
      <c r="O97" s="4">
        <f t="shared" si="17"/>
        <v>38278010</v>
      </c>
      <c r="P97" s="1">
        <v>10601855</v>
      </c>
      <c r="Q97" s="4">
        <f t="shared" si="18"/>
        <v>48879865</v>
      </c>
      <c r="R97" s="1">
        <v>17618175</v>
      </c>
      <c r="S97" s="1">
        <v>12168640</v>
      </c>
      <c r="T97" s="4">
        <f t="shared" si="19"/>
        <v>29786815</v>
      </c>
      <c r="U97" s="1">
        <v>78666680</v>
      </c>
      <c r="V97" s="1">
        <v>2020</v>
      </c>
      <c r="W97" s="8">
        <v>29758508</v>
      </c>
      <c r="X97" s="1">
        <v>0.438</v>
      </c>
      <c r="Y97" s="1">
        <v>1</v>
      </c>
      <c r="Z97" s="1">
        <v>0</v>
      </c>
      <c r="AA97" s="1">
        <v>198200000</v>
      </c>
      <c r="AB97" s="1">
        <v>0.10667626135216952</v>
      </c>
      <c r="AC97" s="1">
        <v>2.3394742684157418E-2</v>
      </c>
      <c r="AD97" s="1">
        <v>2.5701664984863773E-2</v>
      </c>
      <c r="AE97" s="1">
        <v>2.8938597376387487E-2</v>
      </c>
      <c r="AF97" s="2">
        <f t="shared" si="20"/>
        <v>5.464026236125126E-2</v>
      </c>
      <c r="AG97" s="2">
        <f>AF97+AC97</f>
        <v>7.8035005045408681E-2</v>
      </c>
      <c r="AH97" s="1">
        <v>0.18934952068617558</v>
      </c>
      <c r="AI97" s="2">
        <f t="shared" si="21"/>
        <v>0.18471126639757818</v>
      </c>
      <c r="AJ97" s="1">
        <v>7.4886155398587284E-2</v>
      </c>
      <c r="AK97" s="1">
        <v>0.11824204843592331</v>
      </c>
      <c r="AL97" s="4">
        <f t="shared" si="22"/>
        <v>0.1931282038345106</v>
      </c>
      <c r="AM97" s="1">
        <v>5.3490691220988901E-2</v>
      </c>
      <c r="AN97" s="4">
        <f t="shared" si="23"/>
        <v>0.2466188950554995</v>
      </c>
      <c r="AO97" s="1">
        <v>8.8890893037336022E-2</v>
      </c>
      <c r="AP97" s="1">
        <v>6.139576185671039E-2</v>
      </c>
      <c r="AQ97" s="4">
        <f t="shared" si="24"/>
        <v>0.15028665489404641</v>
      </c>
      <c r="AR97" s="1">
        <v>0.39690554994954591</v>
      </c>
      <c r="AS97" s="1">
        <v>0.37406078708375379</v>
      </c>
      <c r="AT97" s="1">
        <v>0.22903366296670025</v>
      </c>
      <c r="AU97" s="1">
        <f t="shared" si="25"/>
        <v>0.15014383451059535</v>
      </c>
      <c r="AV97" s="1">
        <v>7</v>
      </c>
      <c r="AW97">
        <v>335</v>
      </c>
      <c r="AX97">
        <v>329</v>
      </c>
      <c r="AY97" s="6">
        <v>25</v>
      </c>
      <c r="AZ97" s="6">
        <v>4</v>
      </c>
      <c r="BA97" s="11">
        <f t="shared" si="26"/>
        <v>20.9375</v>
      </c>
      <c r="BB97">
        <f t="shared" si="27"/>
        <v>20.5625</v>
      </c>
      <c r="BC97">
        <f t="shared" si="28"/>
        <v>6</v>
      </c>
      <c r="BD97">
        <f t="shared" si="29"/>
        <v>0.375</v>
      </c>
      <c r="BE97" s="10">
        <v>8.2367596025800101</v>
      </c>
      <c r="BF97" s="6">
        <v>25.861540000000002</v>
      </c>
      <c r="BG97" s="6">
        <v>28.292719999999999</v>
      </c>
      <c r="BH97" s="6">
        <v>0.61866500000000002</v>
      </c>
      <c r="BI97" s="6">
        <v>0.461538</v>
      </c>
      <c r="BJ97" s="6"/>
      <c r="BK97" s="6" t="s">
        <v>80</v>
      </c>
      <c r="BL97" s="6" t="s">
        <v>68</v>
      </c>
      <c r="BM97" s="6" t="s">
        <v>92</v>
      </c>
      <c r="BN97" s="6" t="s">
        <v>70</v>
      </c>
    </row>
    <row r="98" spans="1:66">
      <c r="A98" s="1" t="s">
        <v>208</v>
      </c>
      <c r="B98" s="1">
        <v>2019</v>
      </c>
      <c r="C98" s="1" t="s">
        <v>66</v>
      </c>
      <c r="D98" s="1">
        <v>8296599</v>
      </c>
      <c r="E98" s="1">
        <v>12140266</v>
      </c>
      <c r="F98" s="1">
        <v>16674681</v>
      </c>
      <c r="G98" s="1">
        <v>3588603</v>
      </c>
      <c r="H98" s="2">
        <f t="shared" si="15"/>
        <v>20263284</v>
      </c>
      <c r="I98" s="2">
        <f>H98+E98</f>
        <v>32403550</v>
      </c>
      <c r="J98" s="1">
        <v>34014338</v>
      </c>
      <c r="K98" s="2">
        <f t="shared" si="16"/>
        <v>40700149</v>
      </c>
      <c r="L98" s="1">
        <v>74714487</v>
      </c>
      <c r="M98" s="1">
        <v>10667138</v>
      </c>
      <c r="N98" s="1">
        <v>21964198</v>
      </c>
      <c r="O98" s="4">
        <f t="shared" si="17"/>
        <v>32631336</v>
      </c>
      <c r="P98" s="1">
        <v>7709824</v>
      </c>
      <c r="Q98" s="4">
        <f t="shared" si="18"/>
        <v>40341160</v>
      </c>
      <c r="R98" s="1">
        <v>4786932</v>
      </c>
      <c r="S98" s="1">
        <v>17466133</v>
      </c>
      <c r="T98" s="4">
        <f t="shared" si="19"/>
        <v>22253065</v>
      </c>
      <c r="U98" s="1">
        <v>62594225</v>
      </c>
      <c r="V98" s="1">
        <v>2019</v>
      </c>
      <c r="W98" s="8">
        <v>22637474</v>
      </c>
      <c r="X98" s="1">
        <v>0.34399999999999997</v>
      </c>
      <c r="Y98" s="1">
        <v>0</v>
      </c>
      <c r="Z98" s="1">
        <v>0</v>
      </c>
      <c r="AA98" s="1">
        <v>188200000</v>
      </c>
      <c r="AB98" s="1">
        <v>4.4083947927736448E-2</v>
      </c>
      <c r="AC98" s="1">
        <v>6.450725823591924E-2</v>
      </c>
      <c r="AD98" s="1">
        <v>8.8600855472901169E-2</v>
      </c>
      <c r="AE98" s="1">
        <v>1.9068028692879914E-2</v>
      </c>
      <c r="AF98" s="2">
        <f t="shared" si="20"/>
        <v>0.10766888416578108</v>
      </c>
      <c r="AG98" s="2">
        <f>AF98+AC98</f>
        <v>0.17217614240170032</v>
      </c>
      <c r="AH98" s="1">
        <v>0.18073505844845908</v>
      </c>
      <c r="AI98" s="2">
        <f t="shared" si="21"/>
        <v>0.21626009032943677</v>
      </c>
      <c r="AJ98" s="1">
        <v>5.6679798087141339E-2</v>
      </c>
      <c r="AK98" s="1">
        <v>0.11670668437832094</v>
      </c>
      <c r="AL98" s="4">
        <f t="shared" si="22"/>
        <v>0.17338648246546229</v>
      </c>
      <c r="AM98" s="1">
        <v>4.0966121147715195E-2</v>
      </c>
      <c r="AN98" s="4">
        <f t="shared" si="23"/>
        <v>0.21435260361317748</v>
      </c>
      <c r="AO98" s="1">
        <v>2.5435345377258237E-2</v>
      </c>
      <c r="AP98" s="1">
        <v>9.2806232731137084E-2</v>
      </c>
      <c r="AQ98" s="4">
        <f t="shared" si="24"/>
        <v>0.11824157810839532</v>
      </c>
      <c r="AR98" s="1">
        <v>0.33259418172157279</v>
      </c>
      <c r="AS98" s="1">
        <v>0.39699514877789588</v>
      </c>
      <c r="AT98" s="1">
        <v>0.27041066950053128</v>
      </c>
      <c r="AU98" s="1">
        <f t="shared" si="25"/>
        <v>0.12028413390010627</v>
      </c>
      <c r="AV98" s="1">
        <v>5</v>
      </c>
      <c r="AW98">
        <v>361</v>
      </c>
      <c r="AX98">
        <v>442</v>
      </c>
      <c r="AY98" s="6">
        <v>16</v>
      </c>
      <c r="AZ98" s="6">
        <v>28</v>
      </c>
      <c r="BA98" s="11">
        <f t="shared" si="26"/>
        <v>22.5625</v>
      </c>
      <c r="BB98">
        <f t="shared" si="27"/>
        <v>27.625</v>
      </c>
      <c r="BC98">
        <f t="shared" si="28"/>
        <v>-81</v>
      </c>
      <c r="BD98">
        <f t="shared" si="29"/>
        <v>-5.0625</v>
      </c>
      <c r="BE98" s="10">
        <v>5.7099953651277504</v>
      </c>
      <c r="BF98" s="6">
        <v>26.07246</v>
      </c>
      <c r="BG98" s="6">
        <v>28.335819999999998</v>
      </c>
      <c r="BH98" s="6">
        <v>0.62956699999999999</v>
      </c>
      <c r="BI98" s="6">
        <v>0.39130399999999999</v>
      </c>
      <c r="BJ98" s="6"/>
      <c r="BK98" s="6" t="s">
        <v>80</v>
      </c>
      <c r="BL98" s="6" t="s">
        <v>96</v>
      </c>
      <c r="BM98" s="6" t="s">
        <v>164</v>
      </c>
      <c r="BN98" s="6" t="s">
        <v>70</v>
      </c>
    </row>
    <row r="99" spans="1:66">
      <c r="A99" s="1" t="s">
        <v>209</v>
      </c>
      <c r="B99" s="1">
        <v>2019</v>
      </c>
      <c r="C99" s="1" t="s">
        <v>72</v>
      </c>
      <c r="D99" s="1">
        <v>18063000</v>
      </c>
      <c r="E99" s="1">
        <v>9484109</v>
      </c>
      <c r="F99" s="1">
        <v>15332230</v>
      </c>
      <c r="G99" s="1">
        <v>5258881</v>
      </c>
      <c r="H99" s="2">
        <f t="shared" si="15"/>
        <v>20591111</v>
      </c>
      <c r="I99" s="2">
        <f>H99+E99</f>
        <v>30075220</v>
      </c>
      <c r="J99" s="1">
        <v>36609416</v>
      </c>
      <c r="K99" s="2">
        <f t="shared" si="16"/>
        <v>48138220</v>
      </c>
      <c r="L99" s="1">
        <v>84747636</v>
      </c>
      <c r="M99" s="1">
        <v>17244922</v>
      </c>
      <c r="N99" s="1">
        <v>10698868</v>
      </c>
      <c r="O99" s="4">
        <f t="shared" si="17"/>
        <v>27943790</v>
      </c>
      <c r="P99" s="1">
        <v>21102931</v>
      </c>
      <c r="Q99" s="4">
        <f t="shared" si="18"/>
        <v>49046721</v>
      </c>
      <c r="R99" s="1">
        <v>10218404</v>
      </c>
      <c r="S99" s="1">
        <v>17012133</v>
      </c>
      <c r="T99" s="4">
        <f t="shared" si="19"/>
        <v>27230537</v>
      </c>
      <c r="U99" s="1">
        <v>76277258</v>
      </c>
      <c r="V99" s="1">
        <v>2019</v>
      </c>
      <c r="W99" s="8">
        <v>33057233</v>
      </c>
      <c r="X99" s="1">
        <v>0.438</v>
      </c>
      <c r="Y99" s="1">
        <v>0</v>
      </c>
      <c r="Z99" s="1">
        <v>0</v>
      </c>
      <c r="AA99" s="1">
        <v>188200000</v>
      </c>
      <c r="AB99" s="1">
        <v>9.5977683315621676E-2</v>
      </c>
      <c r="AC99" s="1">
        <v>5.0393777895855474E-2</v>
      </c>
      <c r="AD99" s="1">
        <v>8.1467747077577049E-2</v>
      </c>
      <c r="AE99" s="1">
        <v>2.7943044633368757E-2</v>
      </c>
      <c r="AF99" s="2">
        <f t="shared" si="20"/>
        <v>0.10941079171094581</v>
      </c>
      <c r="AG99" s="2">
        <f>AF99+AC99</f>
        <v>0.15980456960680128</v>
      </c>
      <c r="AH99" s="1">
        <v>0.19452399574920298</v>
      </c>
      <c r="AI99" s="2">
        <f t="shared" si="21"/>
        <v>0.25578225292242296</v>
      </c>
      <c r="AJ99" s="1">
        <v>9.1630828905419764E-2</v>
      </c>
      <c r="AK99" s="1">
        <v>5.6848395324123273E-2</v>
      </c>
      <c r="AL99" s="4">
        <f t="shared" si="22"/>
        <v>0.14847922422954304</v>
      </c>
      <c r="AM99" s="1">
        <v>0.11213034537725823</v>
      </c>
      <c r="AN99" s="4">
        <f t="shared" si="23"/>
        <v>0.26060956960680126</v>
      </c>
      <c r="AO99" s="1">
        <v>5.429545164718385E-2</v>
      </c>
      <c r="AP99" s="1">
        <v>9.0393905419766205E-2</v>
      </c>
      <c r="AQ99" s="4">
        <f t="shared" si="24"/>
        <v>0.14468935706695005</v>
      </c>
      <c r="AR99" s="1">
        <v>0.40529892667375134</v>
      </c>
      <c r="AS99" s="1">
        <v>0.45030624867162594</v>
      </c>
      <c r="AT99" s="1">
        <v>0.14439482465462272</v>
      </c>
      <c r="AU99" s="1">
        <f t="shared" si="25"/>
        <v>0.1756494845908608</v>
      </c>
      <c r="AV99" s="1">
        <v>7</v>
      </c>
      <c r="AW99">
        <v>381</v>
      </c>
      <c r="AX99">
        <v>399</v>
      </c>
      <c r="AY99" s="6">
        <v>13</v>
      </c>
      <c r="AZ99" s="6">
        <v>23</v>
      </c>
      <c r="BA99" s="11">
        <f t="shared" si="26"/>
        <v>23.8125</v>
      </c>
      <c r="BB99">
        <f t="shared" si="27"/>
        <v>24.9375</v>
      </c>
      <c r="BC99">
        <f t="shared" si="28"/>
        <v>-18</v>
      </c>
      <c r="BD99">
        <f t="shared" si="29"/>
        <v>-1.125</v>
      </c>
      <c r="BE99" s="10">
        <v>7.5397211922483498</v>
      </c>
      <c r="BF99" s="6">
        <v>26.75</v>
      </c>
      <c r="BG99" s="6">
        <v>28.40992</v>
      </c>
      <c r="BH99" s="6">
        <v>0.63207000000000002</v>
      </c>
      <c r="BI99" s="6">
        <v>0.5</v>
      </c>
      <c r="BJ99" s="6"/>
      <c r="BK99" s="6" t="s">
        <v>67</v>
      </c>
      <c r="BL99" s="6" t="s">
        <v>96</v>
      </c>
      <c r="BM99" s="6" t="s">
        <v>70</v>
      </c>
      <c r="BN99" s="6" t="s">
        <v>70</v>
      </c>
    </row>
    <row r="100" spans="1:66">
      <c r="A100" s="1" t="s">
        <v>210</v>
      </c>
      <c r="B100" s="1">
        <v>2019</v>
      </c>
      <c r="C100" s="1" t="s">
        <v>77</v>
      </c>
      <c r="D100" s="1">
        <v>4187820</v>
      </c>
      <c r="E100" s="1">
        <v>4647747</v>
      </c>
      <c r="F100" s="1">
        <v>12405040</v>
      </c>
      <c r="G100" s="1">
        <v>6811187</v>
      </c>
      <c r="H100" s="2">
        <f t="shared" si="15"/>
        <v>19216227</v>
      </c>
      <c r="I100" s="2">
        <f>H100+E100</f>
        <v>23863974</v>
      </c>
      <c r="J100" s="1">
        <v>24600941</v>
      </c>
      <c r="K100" s="2">
        <f t="shared" si="16"/>
        <v>28051794</v>
      </c>
      <c r="L100" s="1">
        <v>52652735</v>
      </c>
      <c r="M100" s="1">
        <v>20449011</v>
      </c>
      <c r="N100" s="1">
        <v>5276260</v>
      </c>
      <c r="O100" s="4">
        <f t="shared" si="17"/>
        <v>25725271</v>
      </c>
      <c r="P100" s="1">
        <v>5177136</v>
      </c>
      <c r="Q100" s="4">
        <f t="shared" si="18"/>
        <v>30902407</v>
      </c>
      <c r="R100" s="1">
        <v>23587904</v>
      </c>
      <c r="S100" s="1">
        <v>39039526</v>
      </c>
      <c r="T100" s="4">
        <f t="shared" si="19"/>
        <v>62627430</v>
      </c>
      <c r="U100" s="1">
        <v>93529837</v>
      </c>
      <c r="V100" s="1">
        <v>2019</v>
      </c>
      <c r="W100" s="8">
        <v>20153020</v>
      </c>
      <c r="X100" s="1">
        <v>0.875</v>
      </c>
      <c r="Y100" s="1">
        <v>1</v>
      </c>
      <c r="Z100" s="1">
        <v>0</v>
      </c>
      <c r="AA100" s="1">
        <v>188200000</v>
      </c>
      <c r="AB100" s="1">
        <v>2.2251965993623803E-2</v>
      </c>
      <c r="AC100" s="1">
        <v>2.4695786397449522E-2</v>
      </c>
      <c r="AD100" s="1">
        <v>6.5914133900106267E-2</v>
      </c>
      <c r="AE100" s="1">
        <v>3.6191216790648247E-2</v>
      </c>
      <c r="AF100" s="2">
        <f t="shared" si="20"/>
        <v>0.10210535069075452</v>
      </c>
      <c r="AG100" s="2">
        <f>AF100+AC100</f>
        <v>0.12680113708820404</v>
      </c>
      <c r="AH100" s="1">
        <v>0.13071700850159404</v>
      </c>
      <c r="AI100" s="2">
        <f t="shared" si="21"/>
        <v>0.14905310308182784</v>
      </c>
      <c r="AJ100" s="1">
        <v>0.10865574388947928</v>
      </c>
      <c r="AK100" s="1">
        <v>2.8035387885228479E-2</v>
      </c>
      <c r="AL100" s="4">
        <f t="shared" si="22"/>
        <v>0.13669113177470776</v>
      </c>
      <c r="AM100" s="1">
        <v>2.7508692879914982E-2</v>
      </c>
      <c r="AN100" s="4">
        <f t="shared" si="23"/>
        <v>0.16419982465462274</v>
      </c>
      <c r="AO100" s="1">
        <v>0.12533424017003189</v>
      </c>
      <c r="AP100" s="1">
        <v>0.20743637619553668</v>
      </c>
      <c r="AQ100" s="4">
        <f t="shared" si="24"/>
        <v>0.33277061636556859</v>
      </c>
      <c r="AR100" s="1">
        <v>0.49697044102019128</v>
      </c>
      <c r="AS100" s="1">
        <v>0.27977011158342191</v>
      </c>
      <c r="AT100" s="1">
        <v>0.22325944739638681</v>
      </c>
      <c r="AU100" s="1">
        <f t="shared" si="25"/>
        <v>0.10708299681190223</v>
      </c>
      <c r="AV100" s="1">
        <v>14</v>
      </c>
      <c r="AW100">
        <v>531</v>
      </c>
      <c r="AX100">
        <v>282</v>
      </c>
      <c r="AY100" s="6">
        <v>1</v>
      </c>
      <c r="AZ100" s="6">
        <v>3</v>
      </c>
      <c r="BA100" s="11">
        <f t="shared" si="26"/>
        <v>33.1875</v>
      </c>
      <c r="BB100">
        <f t="shared" si="27"/>
        <v>17.625</v>
      </c>
      <c r="BC100">
        <f t="shared" si="28"/>
        <v>249</v>
      </c>
      <c r="BD100">
        <f t="shared" si="29"/>
        <v>15.5625</v>
      </c>
      <c r="BE100" s="10">
        <v>15.2942735071881</v>
      </c>
      <c r="BF100" s="6">
        <v>26.5</v>
      </c>
      <c r="BG100" s="6">
        <v>28.315709999999999</v>
      </c>
      <c r="BH100" s="6">
        <v>0.61436400000000002</v>
      </c>
      <c r="BI100" s="6">
        <v>0.546875</v>
      </c>
      <c r="BJ100" s="6"/>
      <c r="BK100" s="6" t="s">
        <v>80</v>
      </c>
      <c r="BL100" s="6" t="s">
        <v>68</v>
      </c>
      <c r="BM100" s="6" t="s">
        <v>92</v>
      </c>
      <c r="BN100" s="6" t="s">
        <v>70</v>
      </c>
    </row>
    <row r="101" spans="1:66">
      <c r="A101" s="1" t="s">
        <v>211</v>
      </c>
      <c r="B101" s="1">
        <v>2019</v>
      </c>
      <c r="C101" s="1" t="s">
        <v>79</v>
      </c>
      <c r="D101" s="1">
        <v>6713826</v>
      </c>
      <c r="E101" s="1">
        <v>4562191</v>
      </c>
      <c r="F101" s="1">
        <v>18785529</v>
      </c>
      <c r="G101" s="1">
        <v>10198933</v>
      </c>
      <c r="H101" s="2">
        <f t="shared" si="15"/>
        <v>28984462</v>
      </c>
      <c r="I101" s="2">
        <f>H101+E101</f>
        <v>33546653</v>
      </c>
      <c r="J101" s="1">
        <v>31194376</v>
      </c>
      <c r="K101" s="2">
        <f t="shared" si="16"/>
        <v>40260479</v>
      </c>
      <c r="L101" s="1">
        <v>71454855</v>
      </c>
      <c r="M101" s="1">
        <v>21159179</v>
      </c>
      <c r="N101" s="1">
        <v>26135699</v>
      </c>
      <c r="O101" s="4">
        <f t="shared" si="17"/>
        <v>47294878</v>
      </c>
      <c r="P101" s="1">
        <v>11160531</v>
      </c>
      <c r="Q101" s="4">
        <f t="shared" si="18"/>
        <v>58455409</v>
      </c>
      <c r="R101" s="1">
        <v>12774835</v>
      </c>
      <c r="S101" s="1">
        <v>7549959</v>
      </c>
      <c r="T101" s="4">
        <f t="shared" si="19"/>
        <v>20324794</v>
      </c>
      <c r="U101" s="1">
        <v>78780203</v>
      </c>
      <c r="V101" s="1">
        <v>2019</v>
      </c>
      <c r="W101" s="8">
        <v>5049084</v>
      </c>
      <c r="X101" s="1">
        <v>0.625</v>
      </c>
      <c r="Y101" s="1">
        <v>1</v>
      </c>
      <c r="Z101" s="1">
        <v>0</v>
      </c>
      <c r="AA101" s="1">
        <v>188200000</v>
      </c>
      <c r="AB101" s="1">
        <v>3.5673889479277361E-2</v>
      </c>
      <c r="AC101" s="1">
        <v>2.4241184909670564E-2</v>
      </c>
      <c r="AD101" s="1">
        <v>9.9816838469713065E-2</v>
      </c>
      <c r="AE101" s="1">
        <v>5.4191992561105205E-2</v>
      </c>
      <c r="AF101" s="2">
        <f t="shared" si="20"/>
        <v>0.15400883103081828</v>
      </c>
      <c r="AG101" s="2">
        <f>AF101+AC101</f>
        <v>0.17825001594048884</v>
      </c>
      <c r="AH101" s="1">
        <v>0.1657512008501594</v>
      </c>
      <c r="AI101" s="2">
        <f t="shared" si="21"/>
        <v>0.21392390541976622</v>
      </c>
      <c r="AJ101" s="1">
        <v>0.11242921891604676</v>
      </c>
      <c r="AK101" s="1">
        <v>0.1388719394261424</v>
      </c>
      <c r="AL101" s="4">
        <f t="shared" si="22"/>
        <v>0.25130115834218913</v>
      </c>
      <c r="AM101" s="1">
        <v>5.9301439957492028E-2</v>
      </c>
      <c r="AN101" s="4">
        <f t="shared" si="23"/>
        <v>0.31060259829968118</v>
      </c>
      <c r="AO101" s="1">
        <v>6.7879038257173216E-2</v>
      </c>
      <c r="AP101" s="1">
        <v>4.0116679064824655E-2</v>
      </c>
      <c r="AQ101" s="4">
        <f t="shared" si="24"/>
        <v>0.10799571732199786</v>
      </c>
      <c r="AR101" s="1">
        <v>0.41859831562167904</v>
      </c>
      <c r="AS101" s="1">
        <v>0.37967510626992562</v>
      </c>
      <c r="AT101" s="1">
        <v>0.20172657810839534</v>
      </c>
      <c r="AU101" s="1">
        <f t="shared" si="25"/>
        <v>2.6828289054197662E-2</v>
      </c>
      <c r="AV101" s="1">
        <v>10</v>
      </c>
      <c r="AW101">
        <v>314</v>
      </c>
      <c r="AX101">
        <v>259</v>
      </c>
      <c r="AY101" s="6">
        <v>23</v>
      </c>
      <c r="AZ101" s="6">
        <v>2</v>
      </c>
      <c r="BA101" s="11">
        <f t="shared" si="26"/>
        <v>19.625</v>
      </c>
      <c r="BB101">
        <f t="shared" si="27"/>
        <v>16.1875</v>
      </c>
      <c r="BC101">
        <f t="shared" si="28"/>
        <v>55</v>
      </c>
      <c r="BD101">
        <f t="shared" si="29"/>
        <v>3.4375</v>
      </c>
      <c r="BE101" s="10">
        <v>9.65987969034048</v>
      </c>
      <c r="BF101" s="6">
        <v>26.728809999999999</v>
      </c>
      <c r="BG101" s="6">
        <v>28.34498</v>
      </c>
      <c r="BH101" s="6">
        <v>0.53667799999999999</v>
      </c>
      <c r="BI101" s="6">
        <v>0.50847500000000001</v>
      </c>
      <c r="BJ101" s="6"/>
      <c r="BK101" s="6" t="s">
        <v>80</v>
      </c>
      <c r="BL101" s="6" t="s">
        <v>74</v>
      </c>
      <c r="BM101" s="6" t="s">
        <v>81</v>
      </c>
      <c r="BN101" s="6" t="s">
        <v>75</v>
      </c>
    </row>
    <row r="102" spans="1:66">
      <c r="A102" s="1" t="s">
        <v>212</v>
      </c>
      <c r="B102" s="1">
        <v>2019</v>
      </c>
      <c r="C102" s="1" t="s">
        <v>83</v>
      </c>
      <c r="D102" s="1">
        <v>24395545</v>
      </c>
      <c r="E102" s="1">
        <v>6283177</v>
      </c>
      <c r="F102" s="1">
        <v>9197102</v>
      </c>
      <c r="G102" s="1">
        <v>9028498</v>
      </c>
      <c r="H102" s="2">
        <f t="shared" si="15"/>
        <v>18225600</v>
      </c>
      <c r="I102" s="2">
        <f>H102+E102</f>
        <v>24508777</v>
      </c>
      <c r="J102" s="1">
        <v>22616326</v>
      </c>
      <c r="K102" s="2">
        <f t="shared" si="16"/>
        <v>48904322</v>
      </c>
      <c r="L102" s="1">
        <v>71520648</v>
      </c>
      <c r="M102" s="1">
        <v>30399334</v>
      </c>
      <c r="N102" s="1">
        <v>18490862</v>
      </c>
      <c r="O102" s="4">
        <f t="shared" si="17"/>
        <v>48890196</v>
      </c>
      <c r="P102" s="1">
        <v>22276998</v>
      </c>
      <c r="Q102" s="4">
        <f t="shared" si="18"/>
        <v>71167194</v>
      </c>
      <c r="R102" s="1">
        <v>8586514</v>
      </c>
      <c r="S102" s="1">
        <v>7357669</v>
      </c>
      <c r="T102" s="4">
        <f t="shared" si="19"/>
        <v>15944183</v>
      </c>
      <c r="U102" s="1">
        <v>87111377</v>
      </c>
      <c r="V102" s="1">
        <v>2019</v>
      </c>
      <c r="W102" s="8">
        <v>47948583</v>
      </c>
      <c r="X102" s="1">
        <v>0.313</v>
      </c>
      <c r="Y102" s="1">
        <v>0</v>
      </c>
      <c r="Z102" s="1">
        <v>0</v>
      </c>
      <c r="AA102" s="1">
        <v>188200000</v>
      </c>
      <c r="AB102" s="1">
        <v>0.12962563761955367</v>
      </c>
      <c r="AC102" s="1">
        <v>3.3385637619553668E-2</v>
      </c>
      <c r="AD102" s="1">
        <v>4.8868767268862912E-2</v>
      </c>
      <c r="AE102" s="1">
        <v>4.7972890541976621E-2</v>
      </c>
      <c r="AF102" s="2">
        <f t="shared" si="20"/>
        <v>9.6841657810839532E-2</v>
      </c>
      <c r="AG102" s="2">
        <f>AF102+AC102</f>
        <v>0.13022729543039319</v>
      </c>
      <c r="AH102" s="1">
        <v>0.12017176408076514</v>
      </c>
      <c r="AI102" s="2">
        <f t="shared" si="21"/>
        <v>0.25985293304994689</v>
      </c>
      <c r="AJ102" s="1">
        <v>0.16152674814027629</v>
      </c>
      <c r="AK102" s="1">
        <v>9.825112646121148E-2</v>
      </c>
      <c r="AL102" s="4">
        <f t="shared" si="22"/>
        <v>0.25977787460148777</v>
      </c>
      <c r="AM102" s="1">
        <v>0.11836874601487779</v>
      </c>
      <c r="AN102" s="4">
        <f t="shared" si="23"/>
        <v>0.37814662061636556</v>
      </c>
      <c r="AO102" s="1">
        <v>4.5624410201912859E-2</v>
      </c>
      <c r="AP102" s="1">
        <v>3.9094946865037193E-2</v>
      </c>
      <c r="AQ102" s="4">
        <f t="shared" si="24"/>
        <v>8.4719357066950052E-2</v>
      </c>
      <c r="AR102" s="1">
        <v>0.46286597768331561</v>
      </c>
      <c r="AS102" s="1">
        <v>0.38002469713071202</v>
      </c>
      <c r="AT102" s="1">
        <v>0.15710932518597231</v>
      </c>
      <c r="AU102" s="1">
        <f t="shared" si="25"/>
        <v>0.25477461742826779</v>
      </c>
      <c r="AV102" s="1">
        <v>5</v>
      </c>
      <c r="AW102">
        <v>340</v>
      </c>
      <c r="AX102">
        <v>470</v>
      </c>
      <c r="AY102" s="6">
        <v>20</v>
      </c>
      <c r="AZ102" s="6">
        <v>31</v>
      </c>
      <c r="BA102" s="11">
        <f t="shared" si="26"/>
        <v>21.25</v>
      </c>
      <c r="BB102">
        <f t="shared" si="27"/>
        <v>29.375</v>
      </c>
      <c r="BC102">
        <f t="shared" si="28"/>
        <v>-130</v>
      </c>
      <c r="BD102">
        <f t="shared" si="29"/>
        <v>-8.125</v>
      </c>
      <c r="BE102" s="10">
        <v>4.2868752773672796</v>
      </c>
      <c r="BF102" s="6">
        <v>26.492540000000002</v>
      </c>
      <c r="BG102" s="6">
        <v>28.344830000000002</v>
      </c>
      <c r="BH102" s="6">
        <v>0.63627400000000001</v>
      </c>
      <c r="BI102" s="6">
        <v>0.52238799999999996</v>
      </c>
      <c r="BJ102" s="6"/>
      <c r="BK102" s="6" t="s">
        <v>80</v>
      </c>
      <c r="BL102" s="6" t="s">
        <v>96</v>
      </c>
      <c r="BM102" s="6" t="s">
        <v>164</v>
      </c>
      <c r="BN102" s="6" t="s">
        <v>70</v>
      </c>
    </row>
    <row r="103" spans="1:66">
      <c r="A103" s="1" t="s">
        <v>213</v>
      </c>
      <c r="B103" s="1">
        <v>2019</v>
      </c>
      <c r="C103" s="1" t="s">
        <v>85</v>
      </c>
      <c r="D103" s="1">
        <v>14055437</v>
      </c>
      <c r="E103" s="1">
        <v>1792775</v>
      </c>
      <c r="F103" s="1">
        <v>28561458</v>
      </c>
      <c r="G103" s="1">
        <v>12492121</v>
      </c>
      <c r="H103" s="2">
        <f t="shared" si="15"/>
        <v>41053579</v>
      </c>
      <c r="I103" s="2">
        <f>H103+E103</f>
        <v>42846354</v>
      </c>
      <c r="J103" s="1">
        <v>19864821</v>
      </c>
      <c r="K103" s="2">
        <f t="shared" si="16"/>
        <v>56901791</v>
      </c>
      <c r="L103" s="1">
        <v>76766612</v>
      </c>
      <c r="M103" s="1">
        <v>18306693</v>
      </c>
      <c r="N103" s="1">
        <v>19067986</v>
      </c>
      <c r="O103" s="4">
        <f t="shared" si="17"/>
        <v>37374679</v>
      </c>
      <c r="P103" s="1">
        <v>16116704</v>
      </c>
      <c r="Q103" s="4">
        <f t="shared" si="18"/>
        <v>53491383</v>
      </c>
      <c r="R103" s="1">
        <v>5683006</v>
      </c>
      <c r="S103" s="1">
        <v>30304445</v>
      </c>
      <c r="T103" s="4">
        <f t="shared" si="19"/>
        <v>35987451</v>
      </c>
      <c r="U103" s="1">
        <v>89478834</v>
      </c>
      <c r="V103" s="1">
        <v>2019</v>
      </c>
      <c r="W103" s="8">
        <v>31416571</v>
      </c>
      <c r="X103" s="1">
        <v>0.5</v>
      </c>
      <c r="Y103" s="1">
        <v>0</v>
      </c>
      <c r="Z103" s="1">
        <v>0</v>
      </c>
      <c r="AA103" s="1">
        <v>188200000</v>
      </c>
      <c r="AB103" s="1">
        <v>7.4683512221041443E-2</v>
      </c>
      <c r="AC103" s="1">
        <v>9.5259032943676939E-3</v>
      </c>
      <c r="AD103" s="1">
        <v>0.1517612008501594</v>
      </c>
      <c r="AE103" s="1">
        <v>6.6376838469713068E-2</v>
      </c>
      <c r="AF103" s="2">
        <f t="shared" si="20"/>
        <v>0.21813803931987247</v>
      </c>
      <c r="AG103" s="2">
        <f>AF103+AC103</f>
        <v>0.22766394261424017</v>
      </c>
      <c r="AH103" s="1">
        <v>0.10555165249734325</v>
      </c>
      <c r="AI103" s="2">
        <f t="shared" si="21"/>
        <v>0.30234745483528158</v>
      </c>
      <c r="AJ103" s="1">
        <v>9.727254516471838E-2</v>
      </c>
      <c r="AK103" s="1">
        <v>0.10131767268862912</v>
      </c>
      <c r="AL103" s="4">
        <f t="shared" si="22"/>
        <v>0.19859021785334752</v>
      </c>
      <c r="AM103" s="1">
        <v>8.5636046758767265E-2</v>
      </c>
      <c r="AN103" s="4">
        <f t="shared" si="23"/>
        <v>0.28422626461211475</v>
      </c>
      <c r="AO103" s="1">
        <v>3.019663124335813E-2</v>
      </c>
      <c r="AP103" s="1">
        <v>0.16102255579171096</v>
      </c>
      <c r="AQ103" s="4">
        <f t="shared" si="24"/>
        <v>0.1912191870350691</v>
      </c>
      <c r="AR103" s="1">
        <v>0.47544545164718383</v>
      </c>
      <c r="AS103" s="1">
        <v>0.40789910733262486</v>
      </c>
      <c r="AT103" s="1">
        <v>0.11665544102019132</v>
      </c>
      <c r="AU103" s="1">
        <f t="shared" si="25"/>
        <v>0.16693183315621679</v>
      </c>
      <c r="AV103" s="1">
        <v>8</v>
      </c>
      <c r="AW103">
        <v>280</v>
      </c>
      <c r="AX103">
        <v>298</v>
      </c>
      <c r="AY103" s="6">
        <v>29</v>
      </c>
      <c r="AZ103" s="6">
        <v>4</v>
      </c>
      <c r="BA103" s="11">
        <f t="shared" si="26"/>
        <v>17.5</v>
      </c>
      <c r="BB103">
        <f t="shared" si="27"/>
        <v>18.625</v>
      </c>
      <c r="BC103">
        <f t="shared" si="28"/>
        <v>-18</v>
      </c>
      <c r="BD103">
        <f t="shared" si="29"/>
        <v>-1.125</v>
      </c>
      <c r="BE103" s="10">
        <v>7.5397211922483498</v>
      </c>
      <c r="BF103" s="6">
        <v>26.33333</v>
      </c>
      <c r="BG103" s="6">
        <v>27.526509999999998</v>
      </c>
      <c r="BH103" s="6">
        <v>0.62836499999999995</v>
      </c>
      <c r="BI103" s="6">
        <v>0.61904800000000004</v>
      </c>
      <c r="BJ103" s="6"/>
      <c r="BK103" s="6" t="s">
        <v>73</v>
      </c>
      <c r="BL103" s="6" t="s">
        <v>96</v>
      </c>
      <c r="BM103" s="6" t="s">
        <v>93</v>
      </c>
      <c r="BN103" s="6" t="s">
        <v>93</v>
      </c>
    </row>
    <row r="104" spans="1:66">
      <c r="A104" s="1" t="s">
        <v>214</v>
      </c>
      <c r="B104" s="1">
        <v>2019</v>
      </c>
      <c r="C104" s="1" t="s">
        <v>87</v>
      </c>
      <c r="D104" s="1">
        <v>17389080</v>
      </c>
      <c r="E104" s="1">
        <v>7753530</v>
      </c>
      <c r="F104" s="1">
        <v>28740271</v>
      </c>
      <c r="G104" s="1">
        <v>10882654</v>
      </c>
      <c r="H104" s="2">
        <f t="shared" si="15"/>
        <v>39622925</v>
      </c>
      <c r="I104" s="2">
        <f>H104+E104</f>
        <v>47376455</v>
      </c>
      <c r="J104" s="1">
        <v>32697458</v>
      </c>
      <c r="K104" s="2">
        <f t="shared" si="16"/>
        <v>64765535</v>
      </c>
      <c r="L104" s="1">
        <v>97462993</v>
      </c>
      <c r="M104" s="1">
        <v>18381875</v>
      </c>
      <c r="N104" s="1">
        <v>13617308</v>
      </c>
      <c r="O104" s="4">
        <f t="shared" si="17"/>
        <v>31999183</v>
      </c>
      <c r="P104" s="1">
        <v>4597140</v>
      </c>
      <c r="Q104" s="4">
        <f t="shared" si="18"/>
        <v>36596323</v>
      </c>
      <c r="R104" s="1">
        <v>7071863</v>
      </c>
      <c r="S104" s="1">
        <v>23542739</v>
      </c>
      <c r="T104" s="4">
        <f t="shared" si="19"/>
        <v>30614602</v>
      </c>
      <c r="U104" s="1">
        <v>67210925</v>
      </c>
      <c r="V104" s="1">
        <v>2019</v>
      </c>
      <c r="W104" s="8">
        <v>38881625</v>
      </c>
      <c r="X104" s="1">
        <v>0.125</v>
      </c>
      <c r="Y104" s="1">
        <v>0</v>
      </c>
      <c r="Z104" s="1">
        <v>0</v>
      </c>
      <c r="AA104" s="1">
        <v>188200000</v>
      </c>
      <c r="AB104" s="1">
        <v>9.2396811902231674E-2</v>
      </c>
      <c r="AC104" s="1">
        <v>4.1198352816153028E-2</v>
      </c>
      <c r="AD104" s="1">
        <v>0.15271132306057386</v>
      </c>
      <c r="AE104" s="1">
        <v>5.7824941551540915E-2</v>
      </c>
      <c r="AF104" s="2">
        <f t="shared" si="20"/>
        <v>0.21053626461211478</v>
      </c>
      <c r="AG104" s="2">
        <f>AF104+AC104</f>
        <v>0.2517346174282678</v>
      </c>
      <c r="AH104" s="1">
        <v>0.17373782146652497</v>
      </c>
      <c r="AI104" s="2">
        <f t="shared" si="21"/>
        <v>0.34413142933049945</v>
      </c>
      <c r="AJ104" s="1">
        <v>9.7672024442082894E-2</v>
      </c>
      <c r="AK104" s="1">
        <v>7.2355515409139218E-2</v>
      </c>
      <c r="AL104" s="4">
        <f t="shared" si="22"/>
        <v>0.1700275398512221</v>
      </c>
      <c r="AM104" s="1">
        <v>2.4426886291179596E-2</v>
      </c>
      <c r="AN104" s="4">
        <f t="shared" si="23"/>
        <v>0.19445442614240169</v>
      </c>
      <c r="AO104" s="1">
        <v>3.7576317747077578E-2</v>
      </c>
      <c r="AP104" s="1">
        <v>0.12509425611052072</v>
      </c>
      <c r="AQ104" s="4">
        <f t="shared" si="24"/>
        <v>0.16267057385759831</v>
      </c>
      <c r="AR104" s="1">
        <v>0.35712500000000003</v>
      </c>
      <c r="AS104" s="1">
        <v>0.51786925079702439</v>
      </c>
      <c r="AT104" s="1">
        <v>0.12500574920297558</v>
      </c>
      <c r="AU104" s="1">
        <f t="shared" si="25"/>
        <v>0.20659736981934113</v>
      </c>
      <c r="AV104" s="1">
        <v>2</v>
      </c>
      <c r="AW104">
        <v>279</v>
      </c>
      <c r="AX104">
        <v>420</v>
      </c>
      <c r="AY104" s="6">
        <v>30</v>
      </c>
      <c r="AZ104" s="6">
        <v>25</v>
      </c>
      <c r="BA104" s="11">
        <f t="shared" si="26"/>
        <v>17.4375</v>
      </c>
      <c r="BB104">
        <f t="shared" si="27"/>
        <v>26.25</v>
      </c>
      <c r="BC104">
        <f t="shared" si="28"/>
        <v>-141</v>
      </c>
      <c r="BD104">
        <f t="shared" si="29"/>
        <v>-8.8125</v>
      </c>
      <c r="BE104" s="10">
        <v>3.9673993392985998</v>
      </c>
      <c r="BF104" s="6">
        <v>25.83333</v>
      </c>
      <c r="BG104" s="6">
        <v>28.443930000000002</v>
      </c>
      <c r="BH104" s="6">
        <v>0.64727599999999996</v>
      </c>
      <c r="BI104" s="6">
        <v>0.62121199999999999</v>
      </c>
      <c r="BJ104" s="6"/>
      <c r="BK104" s="6" t="s">
        <v>67</v>
      </c>
      <c r="BL104" s="6" t="s">
        <v>96</v>
      </c>
      <c r="BM104" s="6" t="s">
        <v>70</v>
      </c>
      <c r="BN104" s="6" t="s">
        <v>70</v>
      </c>
    </row>
    <row r="105" spans="1:66">
      <c r="A105" s="1" t="s">
        <v>215</v>
      </c>
      <c r="B105" s="1">
        <v>2019</v>
      </c>
      <c r="C105" s="1" t="s">
        <v>89</v>
      </c>
      <c r="D105" s="1">
        <v>11826075</v>
      </c>
      <c r="E105" s="1">
        <v>3404034</v>
      </c>
      <c r="F105" s="1">
        <v>35727967</v>
      </c>
      <c r="G105" s="1">
        <v>6562380</v>
      </c>
      <c r="H105" s="2">
        <f t="shared" si="15"/>
        <v>42290347</v>
      </c>
      <c r="I105" s="2">
        <f>H105+E105</f>
        <v>45694381</v>
      </c>
      <c r="J105" s="1">
        <v>36723539</v>
      </c>
      <c r="K105" s="2">
        <f t="shared" si="16"/>
        <v>57520456</v>
      </c>
      <c r="L105" s="1">
        <v>94243995</v>
      </c>
      <c r="M105" s="1">
        <v>11397361</v>
      </c>
      <c r="N105" s="1">
        <v>24112662</v>
      </c>
      <c r="O105" s="4">
        <f t="shared" si="17"/>
        <v>35510023</v>
      </c>
      <c r="P105" s="1">
        <v>14396593</v>
      </c>
      <c r="Q105" s="4">
        <f t="shared" si="18"/>
        <v>49906616</v>
      </c>
      <c r="R105" s="1">
        <v>15255977</v>
      </c>
      <c r="S105" s="1">
        <v>21268697</v>
      </c>
      <c r="T105" s="4">
        <f t="shared" si="19"/>
        <v>36524674</v>
      </c>
      <c r="U105" s="1">
        <v>86431290</v>
      </c>
      <c r="V105" s="1">
        <v>2019</v>
      </c>
      <c r="W105" s="8">
        <v>24322553</v>
      </c>
      <c r="X105" s="1">
        <v>0.375</v>
      </c>
      <c r="Y105" s="1">
        <v>0</v>
      </c>
      <c r="Z105" s="1">
        <v>0</v>
      </c>
      <c r="AA105" s="1">
        <v>188200000</v>
      </c>
      <c r="AB105" s="1">
        <v>6.2837805526036128E-2</v>
      </c>
      <c r="AC105" s="1">
        <v>1.8087321997874602E-2</v>
      </c>
      <c r="AD105" s="1">
        <v>0.18984041976620616</v>
      </c>
      <c r="AE105" s="1">
        <v>3.4869181721572794E-2</v>
      </c>
      <c r="AF105" s="2">
        <f t="shared" si="20"/>
        <v>0.22470960148777896</v>
      </c>
      <c r="AG105" s="2">
        <f>AF105+AC105</f>
        <v>0.24279692348565357</v>
      </c>
      <c r="AH105" s="1">
        <v>0.19513038788522849</v>
      </c>
      <c r="AI105" s="2">
        <f t="shared" si="21"/>
        <v>0.3056347290116897</v>
      </c>
      <c r="AJ105" s="1">
        <v>6.05598352816153E-2</v>
      </c>
      <c r="AK105" s="1">
        <v>0.1281225398512221</v>
      </c>
      <c r="AL105" s="4">
        <f t="shared" si="22"/>
        <v>0.18868237513283739</v>
      </c>
      <c r="AM105" s="1">
        <v>7.6496243358129642E-2</v>
      </c>
      <c r="AN105" s="4">
        <f t="shared" si="23"/>
        <v>0.26517861849096702</v>
      </c>
      <c r="AO105" s="1">
        <v>8.1062577045696069E-2</v>
      </c>
      <c r="AP105" s="1">
        <v>0.11301114240170032</v>
      </c>
      <c r="AQ105" s="4">
        <f t="shared" si="24"/>
        <v>0.19407371944739638</v>
      </c>
      <c r="AR105" s="1">
        <v>0.45925233793836345</v>
      </c>
      <c r="AS105" s="1">
        <v>0.50076511689691816</v>
      </c>
      <c r="AT105" s="1">
        <v>3.9982545164718442E-2</v>
      </c>
      <c r="AU105" s="1">
        <f t="shared" si="25"/>
        <v>0.12923779489904358</v>
      </c>
      <c r="AV105" s="1">
        <v>6</v>
      </c>
      <c r="AW105">
        <v>335</v>
      </c>
      <c r="AX105">
        <v>393</v>
      </c>
      <c r="AY105" s="6">
        <v>22</v>
      </c>
      <c r="AZ105" s="6">
        <v>20</v>
      </c>
      <c r="BA105" s="11">
        <f t="shared" si="26"/>
        <v>20.9375</v>
      </c>
      <c r="BB105">
        <f t="shared" si="27"/>
        <v>24.5625</v>
      </c>
      <c r="BC105">
        <f t="shared" si="28"/>
        <v>-58</v>
      </c>
      <c r="BD105">
        <f t="shared" si="29"/>
        <v>-3.625</v>
      </c>
      <c r="BE105" s="10">
        <v>6.3779905083622497</v>
      </c>
      <c r="BF105" s="6">
        <v>25.375</v>
      </c>
      <c r="BG105" s="6">
        <v>26.915009999999999</v>
      </c>
      <c r="BH105" s="6">
        <v>0.64236499999999996</v>
      </c>
      <c r="BI105" s="6">
        <v>0.40625</v>
      </c>
      <c r="BJ105" s="6"/>
      <c r="BK105" s="6" t="s">
        <v>73</v>
      </c>
      <c r="BL105" s="6" t="s">
        <v>96</v>
      </c>
      <c r="BM105" s="6" t="s">
        <v>93</v>
      </c>
      <c r="BN105" s="6" t="s">
        <v>93</v>
      </c>
    </row>
    <row r="106" spans="1:66">
      <c r="A106" s="1" t="s">
        <v>216</v>
      </c>
      <c r="B106" s="1">
        <v>2019</v>
      </c>
      <c r="C106" s="1" t="s">
        <v>91</v>
      </c>
      <c r="D106" s="1">
        <v>2903516</v>
      </c>
      <c r="E106" s="1">
        <v>7258235</v>
      </c>
      <c r="F106" s="1">
        <v>23195205</v>
      </c>
      <c r="G106" s="1">
        <v>6115957</v>
      </c>
      <c r="H106" s="2">
        <f t="shared" si="15"/>
        <v>29311162</v>
      </c>
      <c r="I106" s="2">
        <f>H106+E106</f>
        <v>36569397</v>
      </c>
      <c r="J106" s="1">
        <v>52928659</v>
      </c>
      <c r="K106" s="2">
        <f t="shared" si="16"/>
        <v>39472913</v>
      </c>
      <c r="L106" s="1">
        <v>92401572</v>
      </c>
      <c r="M106" s="1">
        <v>16270733</v>
      </c>
      <c r="N106" s="1">
        <v>24047890</v>
      </c>
      <c r="O106" s="4">
        <f t="shared" si="17"/>
        <v>40318623</v>
      </c>
      <c r="P106" s="1">
        <v>14935984</v>
      </c>
      <c r="Q106" s="4">
        <f t="shared" si="18"/>
        <v>55254607</v>
      </c>
      <c r="R106" s="1">
        <v>5626954</v>
      </c>
      <c r="S106" s="1">
        <v>11759970</v>
      </c>
      <c r="T106" s="4">
        <f t="shared" si="19"/>
        <v>17386924</v>
      </c>
      <c r="U106" s="1">
        <v>72641531</v>
      </c>
      <c r="V106" s="1">
        <v>2019</v>
      </c>
      <c r="W106" s="8">
        <v>23186160</v>
      </c>
      <c r="X106" s="1">
        <v>0.5</v>
      </c>
      <c r="Y106" s="1">
        <v>0</v>
      </c>
      <c r="Z106" s="1">
        <v>0</v>
      </c>
      <c r="AA106" s="1">
        <v>188200000</v>
      </c>
      <c r="AB106" s="1">
        <v>1.5427821466524973E-2</v>
      </c>
      <c r="AC106" s="1">
        <v>3.8566604675876727E-2</v>
      </c>
      <c r="AD106" s="1">
        <v>0.12324763549415516</v>
      </c>
      <c r="AE106" s="1">
        <v>3.2497114771519661E-2</v>
      </c>
      <c r="AF106" s="2">
        <f t="shared" si="20"/>
        <v>0.1557447502656748</v>
      </c>
      <c r="AG106" s="2">
        <f>AF106+AC106</f>
        <v>0.19431135494155152</v>
      </c>
      <c r="AH106" s="1">
        <v>0.28123623273113707</v>
      </c>
      <c r="AI106" s="2">
        <f t="shared" si="21"/>
        <v>0.20973917640807654</v>
      </c>
      <c r="AJ106" s="1">
        <v>8.6454479277364507E-2</v>
      </c>
      <c r="AK106" s="1">
        <v>0.12777837407013815</v>
      </c>
      <c r="AL106" s="4">
        <f t="shared" si="22"/>
        <v>0.21423285334750264</v>
      </c>
      <c r="AM106" s="1">
        <v>7.9362295430393193E-2</v>
      </c>
      <c r="AN106" s="4">
        <f t="shared" si="23"/>
        <v>0.29359514877789583</v>
      </c>
      <c r="AO106" s="1">
        <v>2.9898799149840595E-2</v>
      </c>
      <c r="AP106" s="1">
        <v>6.2486556854410201E-2</v>
      </c>
      <c r="AQ106" s="4">
        <f t="shared" si="24"/>
        <v>9.2385356004250796E-2</v>
      </c>
      <c r="AR106" s="1">
        <v>0.38598050478214663</v>
      </c>
      <c r="AS106" s="1">
        <v>0.49097540913921361</v>
      </c>
      <c r="AT106" s="1">
        <v>0.1230440860786397</v>
      </c>
      <c r="AU106" s="1">
        <f t="shared" si="25"/>
        <v>0.12319957492029755</v>
      </c>
      <c r="AV106" s="1">
        <v>8</v>
      </c>
      <c r="AW106">
        <v>434</v>
      </c>
      <c r="AX106">
        <v>321</v>
      </c>
      <c r="AY106" s="6">
        <v>6</v>
      </c>
      <c r="AZ106" s="6">
        <v>11</v>
      </c>
      <c r="BA106" s="11">
        <f t="shared" si="26"/>
        <v>27.125</v>
      </c>
      <c r="BB106">
        <f t="shared" si="27"/>
        <v>20.0625</v>
      </c>
      <c r="BC106">
        <f t="shared" si="28"/>
        <v>113</v>
      </c>
      <c r="BD106">
        <f t="shared" si="29"/>
        <v>7.0625</v>
      </c>
      <c r="BE106" s="10">
        <v>11.3443891819753</v>
      </c>
      <c r="BF106" s="6">
        <v>26.2029</v>
      </c>
      <c r="BG106" s="6">
        <v>27.75311</v>
      </c>
      <c r="BH106" s="6">
        <v>0.63690800000000003</v>
      </c>
      <c r="BI106" s="6">
        <v>0.60869600000000001</v>
      </c>
      <c r="BJ106" s="6"/>
      <c r="BK106" s="6" t="s">
        <v>80</v>
      </c>
      <c r="BL106" s="6" t="s">
        <v>96</v>
      </c>
      <c r="BM106" s="6" t="s">
        <v>164</v>
      </c>
      <c r="BN106" s="6" t="s">
        <v>93</v>
      </c>
    </row>
    <row r="107" spans="1:66">
      <c r="A107" s="1" t="s">
        <v>217</v>
      </c>
      <c r="B107" s="1">
        <v>2019</v>
      </c>
      <c r="C107" s="1" t="s">
        <v>95</v>
      </c>
      <c r="D107" s="1">
        <v>6936162</v>
      </c>
      <c r="E107" s="1">
        <v>4939853</v>
      </c>
      <c r="F107" s="1">
        <v>4509420</v>
      </c>
      <c r="G107" s="1">
        <v>7329076</v>
      </c>
      <c r="H107" s="2">
        <f t="shared" si="15"/>
        <v>11838496</v>
      </c>
      <c r="I107" s="2">
        <f>H107+E107</f>
        <v>16778349</v>
      </c>
      <c r="J107" s="1">
        <v>26251247</v>
      </c>
      <c r="K107" s="2">
        <f t="shared" si="16"/>
        <v>23714511</v>
      </c>
      <c r="L107" s="1">
        <v>49965758</v>
      </c>
      <c r="M107" s="1">
        <v>19079701</v>
      </c>
      <c r="N107" s="1">
        <v>32887968</v>
      </c>
      <c r="O107" s="4">
        <f t="shared" si="17"/>
        <v>51967669</v>
      </c>
      <c r="P107" s="1">
        <v>7052588</v>
      </c>
      <c r="Q107" s="4">
        <f t="shared" si="18"/>
        <v>59020257</v>
      </c>
      <c r="R107" s="1">
        <v>11185503</v>
      </c>
      <c r="S107" s="1">
        <v>19461415</v>
      </c>
      <c r="T107" s="4">
        <f t="shared" si="19"/>
        <v>30646918</v>
      </c>
      <c r="U107" s="1">
        <v>89667175</v>
      </c>
      <c r="V107" s="1">
        <v>2019</v>
      </c>
      <c r="W107" s="8">
        <v>45018931</v>
      </c>
      <c r="X107" s="1">
        <v>0.438</v>
      </c>
      <c r="Y107" s="1">
        <v>0</v>
      </c>
      <c r="Z107" s="1">
        <v>0</v>
      </c>
      <c r="AA107" s="1">
        <v>188200000</v>
      </c>
      <c r="AB107" s="1">
        <v>3.6855270988310311E-2</v>
      </c>
      <c r="AC107" s="1">
        <v>2.6247890541976619E-2</v>
      </c>
      <c r="AD107" s="1">
        <v>2.3960786397449522E-2</v>
      </c>
      <c r="AE107" s="1">
        <v>3.8943018065887354E-2</v>
      </c>
      <c r="AF107" s="2">
        <f t="shared" si="20"/>
        <v>6.2903804463336876E-2</v>
      </c>
      <c r="AG107" s="2">
        <f>AF107+AC107</f>
        <v>8.9151695005313503E-2</v>
      </c>
      <c r="AH107" s="1">
        <v>0.13948590329436769</v>
      </c>
      <c r="AI107" s="2">
        <f t="shared" si="21"/>
        <v>0.12600696599362379</v>
      </c>
      <c r="AJ107" s="1">
        <v>0.1013799202975558</v>
      </c>
      <c r="AK107" s="1">
        <v>0.17475009564293306</v>
      </c>
      <c r="AL107" s="4">
        <f t="shared" si="22"/>
        <v>0.27613001594048886</v>
      </c>
      <c r="AM107" s="1">
        <v>3.7473900106269928E-2</v>
      </c>
      <c r="AN107" s="4">
        <f t="shared" si="23"/>
        <v>0.3136039160467588</v>
      </c>
      <c r="AO107" s="1">
        <v>5.9434128586609992E-2</v>
      </c>
      <c r="AP107" s="1">
        <v>0.10340815621679064</v>
      </c>
      <c r="AQ107" s="4">
        <f t="shared" si="24"/>
        <v>0.16284228480340063</v>
      </c>
      <c r="AR107" s="1">
        <v>0.47644620085015943</v>
      </c>
      <c r="AS107" s="1">
        <v>0.26549286928799148</v>
      </c>
      <c r="AT107" s="1">
        <v>0.25806092986184903</v>
      </c>
      <c r="AU107" s="1">
        <f t="shared" si="25"/>
        <v>0.2392079224229543</v>
      </c>
      <c r="AV107" s="1">
        <v>7</v>
      </c>
      <c r="AW107">
        <v>282</v>
      </c>
      <c r="AX107">
        <v>316</v>
      </c>
      <c r="AY107" s="6">
        <v>28</v>
      </c>
      <c r="AZ107" s="6">
        <v>10</v>
      </c>
      <c r="BA107" s="11">
        <f t="shared" si="26"/>
        <v>17.625</v>
      </c>
      <c r="BB107">
        <f t="shared" si="27"/>
        <v>19.75</v>
      </c>
      <c r="BC107">
        <f t="shared" si="28"/>
        <v>-34</v>
      </c>
      <c r="BD107">
        <f t="shared" si="29"/>
        <v>-2.125</v>
      </c>
      <c r="BE107" s="10">
        <v>7.0750289186939099</v>
      </c>
      <c r="BF107" s="6">
        <v>25.66667</v>
      </c>
      <c r="BG107" s="6">
        <v>27.926110000000001</v>
      </c>
      <c r="BH107" s="6">
        <v>0.64937599999999995</v>
      </c>
      <c r="BI107" s="6">
        <v>0.49275400000000003</v>
      </c>
      <c r="BJ107" s="6"/>
      <c r="BK107" s="6" t="s">
        <v>80</v>
      </c>
      <c r="BL107" s="6" t="s">
        <v>96</v>
      </c>
      <c r="BM107" s="6" t="s">
        <v>164</v>
      </c>
      <c r="BN107" s="6" t="s">
        <v>93</v>
      </c>
    </row>
    <row r="108" spans="1:66">
      <c r="A108" s="1" t="s">
        <v>218</v>
      </c>
      <c r="B108" s="1">
        <v>2019</v>
      </c>
      <c r="C108" s="1" t="s">
        <v>98</v>
      </c>
      <c r="D108" s="1">
        <v>31930059</v>
      </c>
      <c r="E108" s="1">
        <v>2307429</v>
      </c>
      <c r="F108" s="1">
        <v>17465459</v>
      </c>
      <c r="G108" s="1">
        <v>6730065</v>
      </c>
      <c r="H108" s="2">
        <f t="shared" si="15"/>
        <v>24195524</v>
      </c>
      <c r="I108" s="2">
        <f>H108+E108</f>
        <v>26502953</v>
      </c>
      <c r="J108" s="1">
        <v>27129944</v>
      </c>
      <c r="K108" s="2">
        <f t="shared" si="16"/>
        <v>58433012</v>
      </c>
      <c r="L108" s="1">
        <v>85562956</v>
      </c>
      <c r="M108" s="1">
        <v>15087044</v>
      </c>
      <c r="N108" s="1">
        <v>9609031</v>
      </c>
      <c r="O108" s="4">
        <f t="shared" si="17"/>
        <v>24696075</v>
      </c>
      <c r="P108" s="1">
        <v>15306901</v>
      </c>
      <c r="Q108" s="4">
        <f t="shared" si="18"/>
        <v>40002976</v>
      </c>
      <c r="R108" s="1">
        <v>5017157</v>
      </c>
      <c r="S108" s="1">
        <v>23637112</v>
      </c>
      <c r="T108" s="4">
        <f t="shared" si="19"/>
        <v>28654269</v>
      </c>
      <c r="U108" s="1">
        <v>68657245</v>
      </c>
      <c r="V108" s="1">
        <v>2019</v>
      </c>
      <c r="W108" s="8">
        <v>67955813</v>
      </c>
      <c r="X108" s="1">
        <v>0.219</v>
      </c>
      <c r="Y108" s="1">
        <v>0</v>
      </c>
      <c r="Z108" s="1">
        <v>0</v>
      </c>
      <c r="AA108" s="1">
        <v>188200000</v>
      </c>
      <c r="AB108" s="1">
        <v>0.1696602497343252</v>
      </c>
      <c r="AC108" s="1">
        <v>1.2260515409139213E-2</v>
      </c>
      <c r="AD108" s="1">
        <v>9.2802651434644001E-2</v>
      </c>
      <c r="AE108" s="1">
        <v>3.576017534537726E-2</v>
      </c>
      <c r="AF108" s="2">
        <f t="shared" si="20"/>
        <v>0.12856282678002126</v>
      </c>
      <c r="AG108" s="2">
        <f>AF108+AC108</f>
        <v>0.14082334218916048</v>
      </c>
      <c r="AH108" s="1">
        <v>0.14415485653560042</v>
      </c>
      <c r="AI108" s="2">
        <f t="shared" si="21"/>
        <v>0.31048359192348562</v>
      </c>
      <c r="AJ108" s="1">
        <v>8.0164952178533477E-2</v>
      </c>
      <c r="AK108" s="1">
        <v>5.1057550478214662E-2</v>
      </c>
      <c r="AL108" s="4">
        <f t="shared" si="22"/>
        <v>0.13122250265674815</v>
      </c>
      <c r="AM108" s="1">
        <v>8.1333161530286927E-2</v>
      </c>
      <c r="AN108" s="4">
        <f t="shared" si="23"/>
        <v>0.21255566418703509</v>
      </c>
      <c r="AO108" s="1">
        <v>2.665864505844846E-2</v>
      </c>
      <c r="AP108" s="1">
        <v>0.1255957066950053</v>
      </c>
      <c r="AQ108" s="4">
        <f t="shared" si="24"/>
        <v>0.15225435175345375</v>
      </c>
      <c r="AR108" s="1">
        <v>0.36481001594048884</v>
      </c>
      <c r="AS108" s="1">
        <v>0.45463844845908608</v>
      </c>
      <c r="AT108" s="1">
        <v>0.18055153560042503</v>
      </c>
      <c r="AU108" s="1">
        <f t="shared" si="25"/>
        <v>0.36108295961742826</v>
      </c>
      <c r="AV108" s="1">
        <v>3</v>
      </c>
      <c r="AW108">
        <v>341</v>
      </c>
      <c r="AX108">
        <v>423</v>
      </c>
      <c r="AY108" s="6">
        <v>18</v>
      </c>
      <c r="AZ108" s="6">
        <v>26</v>
      </c>
      <c r="BA108" s="11">
        <f t="shared" si="26"/>
        <v>21.3125</v>
      </c>
      <c r="BB108">
        <f t="shared" si="27"/>
        <v>26.4375</v>
      </c>
      <c r="BC108">
        <f t="shared" si="28"/>
        <v>-82</v>
      </c>
      <c r="BD108">
        <f t="shared" si="29"/>
        <v>-5.125</v>
      </c>
      <c r="BE108" s="10">
        <v>5.6809520980306001</v>
      </c>
      <c r="BF108" s="6">
        <v>25.97101</v>
      </c>
      <c r="BG108" s="6">
        <v>28.406099999999999</v>
      </c>
      <c r="BH108" s="6">
        <v>0.67353200000000002</v>
      </c>
      <c r="BI108" s="6">
        <v>0.46376800000000001</v>
      </c>
      <c r="BJ108" s="6"/>
      <c r="BK108" s="6" t="s">
        <v>67</v>
      </c>
      <c r="BL108" s="6" t="s">
        <v>96</v>
      </c>
      <c r="BM108" s="6" t="s">
        <v>70</v>
      </c>
      <c r="BN108" s="6" t="s">
        <v>70</v>
      </c>
    </row>
    <row r="109" spans="1:66">
      <c r="A109" s="1" t="s">
        <v>219</v>
      </c>
      <c r="B109" s="1">
        <v>2019</v>
      </c>
      <c r="C109" s="1" t="s">
        <v>101</v>
      </c>
      <c r="D109" s="1">
        <v>30060000</v>
      </c>
      <c r="E109" s="1">
        <v>2275911</v>
      </c>
      <c r="F109" s="1">
        <v>16313123</v>
      </c>
      <c r="G109" s="1">
        <v>16508239</v>
      </c>
      <c r="H109" s="2">
        <f>SUM(F109:G109)</f>
        <v>32821362</v>
      </c>
      <c r="I109" s="2">
        <f>H109+E109</f>
        <v>35097273</v>
      </c>
      <c r="J109" s="1">
        <v>45779795</v>
      </c>
      <c r="K109" s="2">
        <f>SUM(D109:G109)</f>
        <v>65157273</v>
      </c>
      <c r="L109" s="1">
        <v>110937068</v>
      </c>
      <c r="M109" s="1">
        <v>8776062</v>
      </c>
      <c r="N109" s="1">
        <v>18915217</v>
      </c>
      <c r="O109" s="4">
        <f>SUM(M109:N109)</f>
        <v>27691279</v>
      </c>
      <c r="P109" s="1">
        <v>4713346</v>
      </c>
      <c r="Q109" s="4">
        <f>SUM(O109:P109)</f>
        <v>32404625</v>
      </c>
      <c r="R109" s="1">
        <v>8930462</v>
      </c>
      <c r="S109" s="1">
        <v>13575522</v>
      </c>
      <c r="T109" s="4">
        <f>SUM(R109:S109)</f>
        <v>22505984</v>
      </c>
      <c r="U109" s="1">
        <v>54910609</v>
      </c>
      <c r="V109" s="1">
        <v>2019</v>
      </c>
      <c r="W109" s="8">
        <v>9422115</v>
      </c>
      <c r="X109" s="1">
        <v>0.81299999999999994</v>
      </c>
      <c r="Y109" s="1">
        <v>1</v>
      </c>
      <c r="Z109" s="1">
        <v>0</v>
      </c>
      <c r="AA109" s="1">
        <v>188200000</v>
      </c>
      <c r="AB109" s="1">
        <v>0.15972369819341126</v>
      </c>
      <c r="AC109" s="1">
        <v>1.2093044633368757E-2</v>
      </c>
      <c r="AD109" s="1">
        <v>8.6679718384697124E-2</v>
      </c>
      <c r="AE109" s="1">
        <v>8.7716466524973433E-2</v>
      </c>
      <c r="AF109" s="2">
        <f>SUM(AD109:AE109)</f>
        <v>0.17439618490967057</v>
      </c>
      <c r="AG109" s="2">
        <f>AF109+AC109</f>
        <v>0.18648922954303931</v>
      </c>
      <c r="AH109" s="1">
        <v>0.24325077045696067</v>
      </c>
      <c r="AI109" s="2">
        <f>SUM(AB109:AE109)</f>
        <v>0.34621292773645057</v>
      </c>
      <c r="AJ109" s="1">
        <v>4.6631572794899045E-2</v>
      </c>
      <c r="AK109" s="1">
        <v>0.10050593517534538</v>
      </c>
      <c r="AL109" s="4">
        <f>SUM(AJ109:AK109)</f>
        <v>0.14713750797024444</v>
      </c>
      <c r="AM109" s="1">
        <v>2.5044346439957493E-2</v>
      </c>
      <c r="AN109" s="4">
        <f>SUM(AL109:AM109)</f>
        <v>0.17218185441020192</v>
      </c>
      <c r="AO109" s="1">
        <v>4.7451976620616364E-2</v>
      </c>
      <c r="AP109" s="1">
        <v>7.2133485653560037E-2</v>
      </c>
      <c r="AQ109" s="4">
        <f>SUM(AO109:AP109)</f>
        <v>0.11958546227417641</v>
      </c>
      <c r="AR109" s="1">
        <v>0.29176731668437833</v>
      </c>
      <c r="AS109" s="1">
        <v>0.58946369819341127</v>
      </c>
      <c r="AT109" s="1">
        <v>0.11876898512221046</v>
      </c>
      <c r="AU109" s="1">
        <f t="shared" si="25"/>
        <v>5.0064373007438892E-2</v>
      </c>
      <c r="AV109" s="1">
        <v>13</v>
      </c>
      <c r="AW109">
        <v>376</v>
      </c>
      <c r="AX109">
        <v>313</v>
      </c>
      <c r="AY109" s="6">
        <v>15</v>
      </c>
      <c r="AZ109" s="6">
        <v>9</v>
      </c>
      <c r="BA109" s="11">
        <f t="shared" si="26"/>
        <v>23.5</v>
      </c>
      <c r="BB109">
        <f t="shared" si="27"/>
        <v>19.5625</v>
      </c>
      <c r="BC109">
        <f t="shared" si="28"/>
        <v>63</v>
      </c>
      <c r="BD109">
        <f t="shared" si="29"/>
        <v>3.9375</v>
      </c>
      <c r="BE109" s="10">
        <v>9.8922258271177004</v>
      </c>
      <c r="BF109" s="6">
        <v>26.016670000000001</v>
      </c>
      <c r="BG109" s="6">
        <v>29.30405</v>
      </c>
      <c r="BH109" s="6">
        <v>0.63968100000000006</v>
      </c>
      <c r="BI109" s="6">
        <v>0.61666699999999997</v>
      </c>
      <c r="BJ109" s="6"/>
      <c r="BK109" s="6" t="s">
        <v>67</v>
      </c>
      <c r="BL109" s="6" t="s">
        <v>96</v>
      </c>
      <c r="BM109" s="6" t="s">
        <v>70</v>
      </c>
      <c r="BN109" s="6" t="s">
        <v>70</v>
      </c>
    </row>
    <row r="110" spans="1:66">
      <c r="A110" s="1" t="s">
        <v>220</v>
      </c>
      <c r="B110" s="1">
        <v>2019</v>
      </c>
      <c r="C110" s="1" t="s">
        <v>104</v>
      </c>
      <c r="D110" s="1">
        <v>7833793</v>
      </c>
      <c r="E110" s="1">
        <v>12744125</v>
      </c>
      <c r="F110" s="1">
        <v>27327533</v>
      </c>
      <c r="G110" s="1">
        <v>3376502</v>
      </c>
      <c r="H110" s="2">
        <f t="shared" si="15"/>
        <v>30704035</v>
      </c>
      <c r="I110" s="2">
        <f>H110+E110</f>
        <v>43448160</v>
      </c>
      <c r="J110" s="1">
        <v>26680848</v>
      </c>
      <c r="K110" s="2">
        <f t="shared" si="16"/>
        <v>51281953</v>
      </c>
      <c r="L110" s="1">
        <v>77962801</v>
      </c>
      <c r="M110" s="1">
        <v>24929692</v>
      </c>
      <c r="N110" s="1">
        <v>18363703</v>
      </c>
      <c r="O110" s="4">
        <f t="shared" si="17"/>
        <v>43293395</v>
      </c>
      <c r="P110" s="1">
        <v>9961506</v>
      </c>
      <c r="Q110" s="4">
        <f t="shared" si="18"/>
        <v>53254901</v>
      </c>
      <c r="R110" s="1">
        <v>11103156</v>
      </c>
      <c r="S110" s="1">
        <v>19735855</v>
      </c>
      <c r="T110" s="4">
        <f t="shared" si="19"/>
        <v>30839011</v>
      </c>
      <c r="U110" s="1">
        <v>84093912</v>
      </c>
      <c r="V110" s="1">
        <v>2019</v>
      </c>
      <c r="W110" s="8">
        <v>24906380</v>
      </c>
      <c r="X110" s="1">
        <v>0.625</v>
      </c>
      <c r="Y110" s="1">
        <v>1</v>
      </c>
      <c r="Z110" s="1">
        <v>0</v>
      </c>
      <c r="AA110" s="1">
        <v>188200000</v>
      </c>
      <c r="AB110" s="1">
        <v>4.1624829968119025E-2</v>
      </c>
      <c r="AC110" s="1">
        <v>6.771586078639745E-2</v>
      </c>
      <c r="AD110" s="1">
        <v>0.14520474495217853</v>
      </c>
      <c r="AE110" s="1">
        <v>1.7941030818278428E-2</v>
      </c>
      <c r="AF110" s="2">
        <f t="shared" si="20"/>
        <v>0.16314577577045697</v>
      </c>
      <c r="AG110" s="2">
        <f>AF110+AC110</f>
        <v>0.23086163655685443</v>
      </c>
      <c r="AH110" s="1">
        <v>0.14176858660998937</v>
      </c>
      <c r="AI110" s="2">
        <f t="shared" si="21"/>
        <v>0.27248646652497338</v>
      </c>
      <c r="AJ110" s="1">
        <v>0.13246382571732199</v>
      </c>
      <c r="AK110" s="1">
        <v>9.7575467587672687E-2</v>
      </c>
      <c r="AL110" s="4">
        <f t="shared" si="22"/>
        <v>0.23003929330499467</v>
      </c>
      <c r="AM110" s="1">
        <v>5.2930425079702442E-2</v>
      </c>
      <c r="AN110" s="4">
        <f t="shared" si="23"/>
        <v>0.28296971838469709</v>
      </c>
      <c r="AO110" s="1">
        <v>5.8996578108395321E-2</v>
      </c>
      <c r="AP110" s="1">
        <v>0.1048663921360255</v>
      </c>
      <c r="AQ110" s="4">
        <f t="shared" si="24"/>
        <v>0.16386297024442081</v>
      </c>
      <c r="AR110" s="1">
        <v>0.44683268862911796</v>
      </c>
      <c r="AS110" s="1">
        <v>0.4142550531349628</v>
      </c>
      <c r="AT110" s="1">
        <v>0.13891225823591924</v>
      </c>
      <c r="AU110" s="1">
        <f t="shared" si="25"/>
        <v>0.13233995749202976</v>
      </c>
      <c r="AV110" s="1">
        <v>10</v>
      </c>
      <c r="AW110">
        <v>378</v>
      </c>
      <c r="AX110">
        <v>385</v>
      </c>
      <c r="AY110" s="6">
        <v>14</v>
      </c>
      <c r="AZ110" s="6">
        <v>19</v>
      </c>
      <c r="BA110" s="11">
        <f t="shared" si="26"/>
        <v>23.625</v>
      </c>
      <c r="BB110">
        <f t="shared" si="27"/>
        <v>24.0625</v>
      </c>
      <c r="BC110">
        <f t="shared" si="28"/>
        <v>-7</v>
      </c>
      <c r="BD110">
        <f t="shared" si="29"/>
        <v>-0.4375</v>
      </c>
      <c r="BE110" s="10">
        <v>7.85919713031703</v>
      </c>
      <c r="BF110" s="6">
        <v>26.4697</v>
      </c>
      <c r="BG110" s="6">
        <v>27.49464</v>
      </c>
      <c r="BH110" s="6">
        <v>0.59249499999999999</v>
      </c>
      <c r="BI110" s="6">
        <v>0.5</v>
      </c>
      <c r="BJ110" s="6"/>
      <c r="BK110" s="6" t="s">
        <v>73</v>
      </c>
      <c r="BL110" s="6" t="s">
        <v>74</v>
      </c>
      <c r="BM110" s="6" t="s">
        <v>75</v>
      </c>
      <c r="BN110" s="6" t="s">
        <v>93</v>
      </c>
    </row>
    <row r="111" spans="1:66">
      <c r="A111" s="1" t="s">
        <v>221</v>
      </c>
      <c r="B111" s="1">
        <v>2019</v>
      </c>
      <c r="C111" s="1" t="s">
        <v>106</v>
      </c>
      <c r="D111" s="1">
        <v>11793235</v>
      </c>
      <c r="E111" s="1">
        <v>2907359</v>
      </c>
      <c r="F111" s="1">
        <v>31309352</v>
      </c>
      <c r="G111" s="1">
        <v>14444000</v>
      </c>
      <c r="H111" s="2">
        <f t="shared" si="15"/>
        <v>45753352</v>
      </c>
      <c r="I111" s="2">
        <f>H111+E111</f>
        <v>48660711</v>
      </c>
      <c r="J111" s="1">
        <v>29040221</v>
      </c>
      <c r="K111" s="2">
        <f t="shared" si="16"/>
        <v>60453946</v>
      </c>
      <c r="L111" s="1">
        <v>89494167</v>
      </c>
      <c r="M111" s="1">
        <v>6581313</v>
      </c>
      <c r="N111" s="1">
        <v>31084855</v>
      </c>
      <c r="O111" s="4">
        <f t="shared" si="17"/>
        <v>37666168</v>
      </c>
      <c r="P111" s="1">
        <v>4862403</v>
      </c>
      <c r="Q111" s="4">
        <f t="shared" si="18"/>
        <v>42528571</v>
      </c>
      <c r="R111" s="1">
        <v>9200559</v>
      </c>
      <c r="S111" s="1">
        <v>21669013</v>
      </c>
      <c r="T111" s="4">
        <f t="shared" si="19"/>
        <v>30869572</v>
      </c>
      <c r="U111" s="1">
        <v>73398143</v>
      </c>
      <c r="V111" s="1">
        <v>2019</v>
      </c>
      <c r="W111" s="8">
        <v>29183425</v>
      </c>
      <c r="X111" s="1">
        <v>0.438</v>
      </c>
      <c r="Y111" s="1">
        <v>0</v>
      </c>
      <c r="Z111" s="1">
        <v>0</v>
      </c>
      <c r="AA111" s="1">
        <v>188200000</v>
      </c>
      <c r="AB111" s="1">
        <v>6.2663310308182785E-2</v>
      </c>
      <c r="AC111" s="1">
        <v>1.5448241232731138E-2</v>
      </c>
      <c r="AD111" s="1">
        <v>0.16636212539851222</v>
      </c>
      <c r="AE111" s="1">
        <v>7.6748140276301807E-2</v>
      </c>
      <c r="AF111" s="2">
        <f t="shared" si="20"/>
        <v>0.24311026567481403</v>
      </c>
      <c r="AG111" s="2">
        <f>AF111+AC111</f>
        <v>0.25855850690754517</v>
      </c>
      <c r="AH111" s="1">
        <v>0.15430510626992561</v>
      </c>
      <c r="AI111" s="2">
        <f t="shared" si="21"/>
        <v>0.32122181721572796</v>
      </c>
      <c r="AJ111" s="1">
        <v>3.4969782146652501E-2</v>
      </c>
      <c r="AK111" s="1">
        <v>0.165169261424017</v>
      </c>
      <c r="AL111" s="4">
        <f t="shared" si="22"/>
        <v>0.2001390435706695</v>
      </c>
      <c r="AM111" s="1">
        <v>2.5836360255047822E-2</v>
      </c>
      <c r="AN111" s="4">
        <f t="shared" si="23"/>
        <v>0.22597540382571732</v>
      </c>
      <c r="AO111" s="1">
        <v>4.8887136025504783E-2</v>
      </c>
      <c r="AP111" s="1">
        <v>0.11513821997874601</v>
      </c>
      <c r="AQ111" s="4">
        <f t="shared" si="24"/>
        <v>0.16402535600425081</v>
      </c>
      <c r="AR111" s="1">
        <v>0.39000075982996812</v>
      </c>
      <c r="AS111" s="1">
        <v>0.47552692348565356</v>
      </c>
      <c r="AT111" s="1">
        <v>0.13447231668437831</v>
      </c>
      <c r="AU111" s="1">
        <f t="shared" si="25"/>
        <v>0.15506602019128587</v>
      </c>
      <c r="AV111" s="1">
        <v>7</v>
      </c>
      <c r="AW111">
        <v>361</v>
      </c>
      <c r="AX111">
        <v>373</v>
      </c>
      <c r="AY111" s="6">
        <v>16</v>
      </c>
      <c r="AZ111" s="6">
        <v>18</v>
      </c>
      <c r="BA111" s="11">
        <f t="shared" si="26"/>
        <v>22.5625</v>
      </c>
      <c r="BB111">
        <f t="shared" si="27"/>
        <v>23.3125</v>
      </c>
      <c r="BC111">
        <f t="shared" si="28"/>
        <v>-12</v>
      </c>
      <c r="BD111">
        <f t="shared" si="29"/>
        <v>-0.75</v>
      </c>
      <c r="BE111" s="10">
        <v>7.7139807948312704</v>
      </c>
      <c r="BF111" s="6">
        <v>25.776119999999999</v>
      </c>
      <c r="BG111" s="6">
        <v>27.772449999999999</v>
      </c>
      <c r="BH111" s="6">
        <v>0.62367899999999998</v>
      </c>
      <c r="BI111" s="6">
        <v>0.65671599999999997</v>
      </c>
      <c r="BJ111" s="6"/>
      <c r="BK111" s="6" t="s">
        <v>80</v>
      </c>
      <c r="BL111" s="6" t="s">
        <v>68</v>
      </c>
      <c r="BM111" s="6" t="s">
        <v>92</v>
      </c>
      <c r="BN111" s="6" t="s">
        <v>93</v>
      </c>
    </row>
    <row r="112" spans="1:66">
      <c r="A112" s="1" t="s">
        <v>222</v>
      </c>
      <c r="B112" s="1">
        <v>2019</v>
      </c>
      <c r="C112" s="1" t="s">
        <v>108</v>
      </c>
      <c r="D112" s="1">
        <v>13149963</v>
      </c>
      <c r="E112" s="1">
        <v>9322496</v>
      </c>
      <c r="F112" s="1">
        <v>13956013</v>
      </c>
      <c r="G112" s="1">
        <v>5508925</v>
      </c>
      <c r="H112" s="2">
        <f t="shared" si="15"/>
        <v>19464938</v>
      </c>
      <c r="I112" s="2">
        <f>H112+E112</f>
        <v>28787434</v>
      </c>
      <c r="J112" s="1">
        <v>32106212</v>
      </c>
      <c r="K112" s="2">
        <f t="shared" si="16"/>
        <v>41937397</v>
      </c>
      <c r="L112" s="1">
        <v>74043609</v>
      </c>
      <c r="M112" s="1">
        <v>27738114</v>
      </c>
      <c r="N112" s="1">
        <v>7443609</v>
      </c>
      <c r="O112" s="4">
        <f t="shared" si="17"/>
        <v>35181723</v>
      </c>
      <c r="P112" s="1">
        <v>12613248</v>
      </c>
      <c r="Q112" s="4">
        <f t="shared" si="18"/>
        <v>47794971</v>
      </c>
      <c r="R112" s="1">
        <v>6361198</v>
      </c>
      <c r="S112" s="1">
        <v>24220950</v>
      </c>
      <c r="T112" s="4">
        <f t="shared" si="19"/>
        <v>30582148</v>
      </c>
      <c r="U112" s="1">
        <v>78377119</v>
      </c>
      <c r="V112" s="1">
        <v>2019</v>
      </c>
      <c r="W112" s="8">
        <v>31085587</v>
      </c>
      <c r="X112" s="1">
        <v>0.375</v>
      </c>
      <c r="Y112" s="1">
        <v>0</v>
      </c>
      <c r="Z112" s="1">
        <v>0</v>
      </c>
      <c r="AA112" s="1">
        <v>188200000</v>
      </c>
      <c r="AB112" s="1">
        <v>6.9872279489904363E-2</v>
      </c>
      <c r="AC112" s="1">
        <v>4.9535047821466525E-2</v>
      </c>
      <c r="AD112" s="1">
        <v>7.4155223166843781E-2</v>
      </c>
      <c r="AE112" s="1">
        <v>2.9271652497343252E-2</v>
      </c>
      <c r="AF112" s="2">
        <f t="shared" si="20"/>
        <v>0.10342687566418704</v>
      </c>
      <c r="AG112" s="2">
        <f>AF112+AC112</f>
        <v>0.15296192348565357</v>
      </c>
      <c r="AH112" s="1">
        <v>0.17059623804463336</v>
      </c>
      <c r="AI112" s="2">
        <f t="shared" si="21"/>
        <v>0.22283420297555792</v>
      </c>
      <c r="AJ112" s="1">
        <v>0.14738636556854409</v>
      </c>
      <c r="AK112" s="1">
        <v>3.9551588735387888E-2</v>
      </c>
      <c r="AL112" s="4">
        <f t="shared" si="22"/>
        <v>0.18693795430393198</v>
      </c>
      <c r="AM112" s="1">
        <v>6.7020446333687561E-2</v>
      </c>
      <c r="AN112" s="4">
        <f t="shared" si="23"/>
        <v>0.25395840063761954</v>
      </c>
      <c r="AO112" s="1">
        <v>3.3800201912858659E-2</v>
      </c>
      <c r="AP112" s="1">
        <v>0.12869792773645058</v>
      </c>
      <c r="AQ112" s="4">
        <f t="shared" si="24"/>
        <v>0.16249812964930924</v>
      </c>
      <c r="AR112" s="1">
        <v>0.41645653028692881</v>
      </c>
      <c r="AS112" s="1">
        <v>0.39343044102019131</v>
      </c>
      <c r="AT112" s="1">
        <v>0.19011302869287983</v>
      </c>
      <c r="AU112" s="1">
        <f t="shared" si="25"/>
        <v>0.16517315090329437</v>
      </c>
      <c r="AV112" s="1">
        <v>6</v>
      </c>
      <c r="AW112">
        <v>300</v>
      </c>
      <c r="AX112">
        <v>397</v>
      </c>
      <c r="AY112" s="6">
        <v>26</v>
      </c>
      <c r="AZ112" s="6">
        <v>21</v>
      </c>
      <c r="BA112" s="11">
        <f t="shared" si="26"/>
        <v>18.75</v>
      </c>
      <c r="BB112">
        <f t="shared" si="27"/>
        <v>24.8125</v>
      </c>
      <c r="BC112">
        <f t="shared" si="28"/>
        <v>-97</v>
      </c>
      <c r="BD112">
        <f t="shared" si="29"/>
        <v>-6.0625</v>
      </c>
      <c r="BE112" s="10">
        <v>5.2453030915733097</v>
      </c>
      <c r="BF112" s="6">
        <v>25.571429999999999</v>
      </c>
      <c r="BG112" s="6">
        <v>27.521699999999999</v>
      </c>
      <c r="BH112" s="6">
        <v>0.66212400000000005</v>
      </c>
      <c r="BI112" s="6">
        <v>0.45714300000000002</v>
      </c>
      <c r="BJ112" s="6"/>
      <c r="BK112" s="6" t="s">
        <v>73</v>
      </c>
      <c r="BL112" s="6" t="s">
        <v>96</v>
      </c>
      <c r="BM112" s="6" t="s">
        <v>93</v>
      </c>
      <c r="BN112" s="6" t="s">
        <v>93</v>
      </c>
    </row>
    <row r="113" spans="1:66">
      <c r="A113" s="1" t="s">
        <v>223</v>
      </c>
      <c r="B113" s="1">
        <v>2019</v>
      </c>
      <c r="C113" s="1" t="s">
        <v>110</v>
      </c>
      <c r="D113" s="1">
        <v>9288808</v>
      </c>
      <c r="E113" s="1">
        <v>6758058</v>
      </c>
      <c r="F113" s="1">
        <v>25947032</v>
      </c>
      <c r="G113" s="1">
        <v>12691900</v>
      </c>
      <c r="H113" s="2">
        <f t="shared" si="15"/>
        <v>38638932</v>
      </c>
      <c r="I113" s="2">
        <f>H113+E113</f>
        <v>45396990</v>
      </c>
      <c r="J113" s="1">
        <v>30594087</v>
      </c>
      <c r="K113" s="2">
        <f t="shared" si="16"/>
        <v>54685798</v>
      </c>
      <c r="L113" s="1">
        <v>85279885</v>
      </c>
      <c r="M113" s="1">
        <v>7958341</v>
      </c>
      <c r="N113" s="1">
        <v>13963072</v>
      </c>
      <c r="O113" s="4">
        <f t="shared" si="17"/>
        <v>21921413</v>
      </c>
      <c r="P113" s="1">
        <v>11996608</v>
      </c>
      <c r="Q113" s="4">
        <f t="shared" si="18"/>
        <v>33918021</v>
      </c>
      <c r="R113" s="1">
        <v>14285030</v>
      </c>
      <c r="S113" s="1">
        <v>9297683</v>
      </c>
      <c r="T113" s="4">
        <f t="shared" si="19"/>
        <v>23582713</v>
      </c>
      <c r="U113" s="1">
        <v>57500734</v>
      </c>
      <c r="V113" s="1">
        <v>2019</v>
      </c>
      <c r="W113" s="8">
        <v>10374764</v>
      </c>
      <c r="X113" s="1">
        <v>0.75</v>
      </c>
      <c r="Y113" s="1">
        <v>1</v>
      </c>
      <c r="Z113" s="1">
        <v>1</v>
      </c>
      <c r="AA113" s="1">
        <v>188200000</v>
      </c>
      <c r="AB113" s="1">
        <v>4.9356046758767272E-2</v>
      </c>
      <c r="AC113" s="1">
        <v>3.590891604675877E-2</v>
      </c>
      <c r="AD113" s="1">
        <v>0.13786945802337938</v>
      </c>
      <c r="AE113" s="1">
        <v>6.7438363443145591E-2</v>
      </c>
      <c r="AF113" s="2">
        <f t="shared" si="20"/>
        <v>0.20530782146652499</v>
      </c>
      <c r="AG113" s="2">
        <f>AF113+AC113</f>
        <v>0.24121673751328376</v>
      </c>
      <c r="AH113" s="1">
        <v>0.16256156748140277</v>
      </c>
      <c r="AI113" s="2">
        <f t="shared" si="21"/>
        <v>0.29057278427205102</v>
      </c>
      <c r="AJ113" s="1">
        <v>4.2286615302869285E-2</v>
      </c>
      <c r="AK113" s="1">
        <v>7.41927311370882E-2</v>
      </c>
      <c r="AL113" s="4">
        <f t="shared" si="22"/>
        <v>0.11647934643995748</v>
      </c>
      <c r="AM113" s="1">
        <v>6.3743931987247607E-2</v>
      </c>
      <c r="AN113" s="4">
        <f t="shared" si="23"/>
        <v>0.18022327842720509</v>
      </c>
      <c r="AO113" s="1">
        <v>7.5903453772582355E-2</v>
      </c>
      <c r="AP113" s="1">
        <v>4.9403204038257174E-2</v>
      </c>
      <c r="AQ113" s="4">
        <f t="shared" si="24"/>
        <v>0.12530665781083952</v>
      </c>
      <c r="AR113" s="1">
        <v>0.30552993623804464</v>
      </c>
      <c r="AS113" s="1">
        <v>0.45313435175345379</v>
      </c>
      <c r="AT113" s="1">
        <v>0.24133571200850157</v>
      </c>
      <c r="AU113" s="1">
        <f t="shared" si="25"/>
        <v>5.5126269925611052E-2</v>
      </c>
      <c r="AV113" s="1">
        <v>12</v>
      </c>
      <c r="AW113">
        <v>451</v>
      </c>
      <c r="AX113">
        <v>308</v>
      </c>
      <c r="AY113" s="6">
        <v>5</v>
      </c>
      <c r="AZ113" s="6">
        <v>7</v>
      </c>
      <c r="BA113" s="11">
        <f t="shared" si="26"/>
        <v>28.1875</v>
      </c>
      <c r="BB113">
        <f t="shared" si="27"/>
        <v>19.25</v>
      </c>
      <c r="BC113">
        <f t="shared" si="28"/>
        <v>143</v>
      </c>
      <c r="BD113">
        <f t="shared" si="29"/>
        <v>8.9375</v>
      </c>
      <c r="BE113" s="10">
        <v>12.215687194889901</v>
      </c>
      <c r="BF113" s="6">
        <v>26.369230000000002</v>
      </c>
      <c r="BG113" s="6">
        <v>27.371130000000001</v>
      </c>
      <c r="BH113" s="6">
        <v>0.57016</v>
      </c>
      <c r="BI113" s="6">
        <v>0.55384599999999995</v>
      </c>
      <c r="BJ113" s="6"/>
      <c r="BK113" s="6" t="s">
        <v>73</v>
      </c>
      <c r="BL113" s="6" t="s">
        <v>74</v>
      </c>
      <c r="BM113" s="6" t="s">
        <v>75</v>
      </c>
      <c r="BN113" s="6" t="s">
        <v>75</v>
      </c>
    </row>
    <row r="114" spans="1:66">
      <c r="A114" s="1" t="s">
        <v>224</v>
      </c>
      <c r="B114" s="1">
        <v>2019</v>
      </c>
      <c r="C114" s="1" t="s">
        <v>114</v>
      </c>
      <c r="D114" s="1">
        <v>27064655</v>
      </c>
      <c r="E114" s="1">
        <v>6477550</v>
      </c>
      <c r="F114" s="1">
        <v>23608026</v>
      </c>
      <c r="G114" s="1">
        <v>7014216</v>
      </c>
      <c r="H114" s="2">
        <f t="shared" si="15"/>
        <v>30622242</v>
      </c>
      <c r="I114" s="2">
        <f>H114+E114</f>
        <v>37099792</v>
      </c>
      <c r="J114" s="1">
        <v>37523591</v>
      </c>
      <c r="K114" s="2">
        <f t="shared" si="16"/>
        <v>64164447</v>
      </c>
      <c r="L114" s="1">
        <v>101688038</v>
      </c>
      <c r="M114" s="1">
        <v>8892283</v>
      </c>
      <c r="N114" s="1">
        <v>29172771</v>
      </c>
      <c r="O114" s="4">
        <f t="shared" si="17"/>
        <v>38065054</v>
      </c>
      <c r="P114" s="1">
        <v>11889408</v>
      </c>
      <c r="Q114" s="4">
        <f t="shared" si="18"/>
        <v>49954462</v>
      </c>
      <c r="R114" s="1">
        <v>7265608</v>
      </c>
      <c r="S114" s="1">
        <v>12377117</v>
      </c>
      <c r="T114" s="4">
        <f t="shared" si="19"/>
        <v>19642725</v>
      </c>
      <c r="U114" s="1">
        <v>69597187</v>
      </c>
      <c r="V114" s="1">
        <v>2019</v>
      </c>
      <c r="W114" s="8">
        <v>19686640</v>
      </c>
      <c r="X114" s="1">
        <v>0.313</v>
      </c>
      <c r="Y114" s="1">
        <v>0</v>
      </c>
      <c r="Z114" s="1">
        <v>0</v>
      </c>
      <c r="AA114" s="1">
        <v>188200000</v>
      </c>
      <c r="AB114" s="1">
        <v>0.14380794367693941</v>
      </c>
      <c r="AC114" s="1">
        <v>3.4418437832093515E-2</v>
      </c>
      <c r="AD114" s="1">
        <v>0.12544115834218916</v>
      </c>
      <c r="AE114" s="1">
        <v>3.7270010626992561E-2</v>
      </c>
      <c r="AF114" s="2">
        <f t="shared" si="20"/>
        <v>0.16271116896918172</v>
      </c>
      <c r="AG114" s="2">
        <f>AF114+AC114</f>
        <v>0.19712960680127523</v>
      </c>
      <c r="AH114" s="1">
        <v>0.19938146121147715</v>
      </c>
      <c r="AI114" s="2">
        <f t="shared" si="21"/>
        <v>0.34093755047821461</v>
      </c>
      <c r="AJ114" s="1">
        <v>4.7249112646121146E-2</v>
      </c>
      <c r="AK114" s="1">
        <v>0.15500941020191286</v>
      </c>
      <c r="AL114" s="4">
        <f t="shared" si="22"/>
        <v>0.202258522848034</v>
      </c>
      <c r="AM114" s="1">
        <v>6.3174325185972366E-2</v>
      </c>
      <c r="AN114" s="4">
        <f t="shared" si="23"/>
        <v>0.26543284803400635</v>
      </c>
      <c r="AO114" s="1">
        <v>3.8605781083953239E-2</v>
      </c>
      <c r="AP114" s="1">
        <v>6.5765765143464397E-2</v>
      </c>
      <c r="AQ114" s="4">
        <f t="shared" si="24"/>
        <v>0.10437154622741764</v>
      </c>
      <c r="AR114" s="1">
        <v>0.36980439426142403</v>
      </c>
      <c r="AS114" s="1">
        <v>0.54031901168969176</v>
      </c>
      <c r="AT114" s="1">
        <v>8.9876594048884151E-2</v>
      </c>
      <c r="AU114" s="1">
        <f t="shared" si="25"/>
        <v>0.10460488841657811</v>
      </c>
      <c r="AV114" s="1">
        <v>5</v>
      </c>
      <c r="AW114">
        <v>337</v>
      </c>
      <c r="AX114">
        <v>345</v>
      </c>
      <c r="AY114" s="6">
        <v>21</v>
      </c>
      <c r="AZ114" s="6">
        <v>14</v>
      </c>
      <c r="BA114" s="11">
        <f t="shared" si="26"/>
        <v>21.0625</v>
      </c>
      <c r="BB114">
        <f t="shared" si="27"/>
        <v>21.5625</v>
      </c>
      <c r="BC114">
        <f t="shared" si="28"/>
        <v>-8</v>
      </c>
      <c r="BD114">
        <f t="shared" si="29"/>
        <v>-0.5</v>
      </c>
      <c r="BE114" s="10">
        <v>7.8301538632198797</v>
      </c>
      <c r="BF114" s="6">
        <v>26.290320000000001</v>
      </c>
      <c r="BG114" s="6">
        <v>29.424790000000002</v>
      </c>
      <c r="BH114" s="6">
        <v>0.645204</v>
      </c>
      <c r="BI114" s="6">
        <v>0.64516099999999998</v>
      </c>
      <c r="BJ114" s="6"/>
      <c r="BK114" s="6" t="s">
        <v>67</v>
      </c>
      <c r="BL114" s="6" t="s">
        <v>96</v>
      </c>
      <c r="BM114" s="6" t="s">
        <v>70</v>
      </c>
      <c r="BN114" s="6" t="s">
        <v>70</v>
      </c>
    </row>
    <row r="115" spans="1:66">
      <c r="A115" s="1" t="s">
        <v>225</v>
      </c>
      <c r="B115" s="1">
        <v>2019</v>
      </c>
      <c r="C115" s="1" t="s">
        <v>116</v>
      </c>
      <c r="D115" s="1">
        <v>11765577</v>
      </c>
      <c r="E115" s="1">
        <v>12126193</v>
      </c>
      <c r="F115" s="1">
        <v>26412655</v>
      </c>
      <c r="G115" s="1">
        <v>4228642</v>
      </c>
      <c r="H115" s="2">
        <f t="shared" si="15"/>
        <v>30641297</v>
      </c>
      <c r="I115" s="2">
        <f>H115+E115</f>
        <v>42767490</v>
      </c>
      <c r="J115" s="1">
        <v>31811467</v>
      </c>
      <c r="K115" s="2">
        <f t="shared" si="16"/>
        <v>54533067</v>
      </c>
      <c r="L115" s="1">
        <v>86344534</v>
      </c>
      <c r="M115" s="1">
        <v>30585660</v>
      </c>
      <c r="N115" s="1">
        <v>17851822</v>
      </c>
      <c r="O115" s="4">
        <f t="shared" si="17"/>
        <v>48437482</v>
      </c>
      <c r="P115" s="1">
        <v>6129397</v>
      </c>
      <c r="Q115" s="4">
        <f t="shared" si="18"/>
        <v>54566879</v>
      </c>
      <c r="R115" s="1">
        <v>9800904</v>
      </c>
      <c r="S115" s="1">
        <v>11806937</v>
      </c>
      <c r="T115" s="4">
        <f t="shared" si="19"/>
        <v>21607841</v>
      </c>
      <c r="U115" s="1">
        <v>76174720</v>
      </c>
      <c r="V115" s="1">
        <v>2019</v>
      </c>
      <c r="W115" s="8">
        <v>4903862</v>
      </c>
      <c r="X115" s="1">
        <v>0.56299999999999994</v>
      </c>
      <c r="Y115" s="1">
        <v>0</v>
      </c>
      <c r="Z115" s="1">
        <v>0</v>
      </c>
      <c r="AA115" s="1">
        <v>188200000</v>
      </c>
      <c r="AB115" s="1">
        <v>6.2516349628055259E-2</v>
      </c>
      <c r="AC115" s="1">
        <v>6.4432481402763017E-2</v>
      </c>
      <c r="AD115" s="1">
        <v>0.14034354410201913</v>
      </c>
      <c r="AE115" s="1">
        <v>2.2468873538788525E-2</v>
      </c>
      <c r="AF115" s="2">
        <f t="shared" si="20"/>
        <v>0.16281241764080764</v>
      </c>
      <c r="AG115" s="2">
        <f>AF115+AC115</f>
        <v>0.22724489904357065</v>
      </c>
      <c r="AH115" s="1">
        <v>0.1690301115834219</v>
      </c>
      <c r="AI115" s="2">
        <f t="shared" si="21"/>
        <v>0.28976124867162595</v>
      </c>
      <c r="AJ115" s="1">
        <v>0.16251679064824653</v>
      </c>
      <c r="AK115" s="1">
        <v>9.4855589798087142E-2</v>
      </c>
      <c r="AL115" s="4">
        <f t="shared" si="22"/>
        <v>0.2573723804463337</v>
      </c>
      <c r="AM115" s="1">
        <v>3.2568528161530289E-2</v>
      </c>
      <c r="AN115" s="4">
        <f t="shared" si="23"/>
        <v>0.28994090860786398</v>
      </c>
      <c r="AO115" s="1">
        <v>5.2077066950053132E-2</v>
      </c>
      <c r="AP115" s="1">
        <v>6.2736115834218911E-2</v>
      </c>
      <c r="AQ115" s="4">
        <f t="shared" si="24"/>
        <v>0.11481318278427205</v>
      </c>
      <c r="AR115" s="1">
        <v>0.40475409139213603</v>
      </c>
      <c r="AS115" s="1">
        <v>0.4587913602550478</v>
      </c>
      <c r="AT115" s="1">
        <v>0.13645454835281612</v>
      </c>
      <c r="AU115" s="1">
        <f t="shared" si="25"/>
        <v>2.6056652497343253E-2</v>
      </c>
      <c r="AV115" s="1">
        <v>9</v>
      </c>
      <c r="AW115">
        <v>394</v>
      </c>
      <c r="AX115">
        <v>364</v>
      </c>
      <c r="AY115" s="6">
        <v>11</v>
      </c>
      <c r="AZ115" s="6">
        <v>17</v>
      </c>
      <c r="BA115" s="11">
        <f t="shared" si="26"/>
        <v>24.625</v>
      </c>
      <c r="BB115">
        <f t="shared" si="27"/>
        <v>22.75</v>
      </c>
      <c r="BC115">
        <f t="shared" si="28"/>
        <v>30</v>
      </c>
      <c r="BD115">
        <f t="shared" si="29"/>
        <v>1.875</v>
      </c>
      <c r="BE115" s="10">
        <v>8.9337980129116694</v>
      </c>
      <c r="BF115" s="6">
        <v>25.508199999999999</v>
      </c>
      <c r="BG115" s="6">
        <v>27.877189999999999</v>
      </c>
      <c r="BH115" s="6">
        <v>0.65134999999999998</v>
      </c>
      <c r="BI115" s="6">
        <v>0.62295100000000003</v>
      </c>
      <c r="BJ115" s="6"/>
      <c r="BK115" s="6" t="s">
        <v>80</v>
      </c>
      <c r="BL115" s="6" t="s">
        <v>96</v>
      </c>
      <c r="BM115" s="6" t="s">
        <v>164</v>
      </c>
      <c r="BN115" s="6" t="s">
        <v>93</v>
      </c>
    </row>
    <row r="116" spans="1:66">
      <c r="A116" s="1" t="s">
        <v>226</v>
      </c>
      <c r="B116" s="1">
        <v>2019</v>
      </c>
      <c r="C116" s="1" t="s">
        <v>118</v>
      </c>
      <c r="D116" s="1">
        <v>7119898</v>
      </c>
      <c r="E116" s="1">
        <v>1989719</v>
      </c>
      <c r="F116" s="1">
        <v>21269506</v>
      </c>
      <c r="G116" s="1">
        <v>2790180</v>
      </c>
      <c r="H116" s="2">
        <f t="shared" si="15"/>
        <v>24059686</v>
      </c>
      <c r="I116" s="2">
        <f>H116+E116</f>
        <v>26049405</v>
      </c>
      <c r="J116" s="1">
        <v>10059484</v>
      </c>
      <c r="K116" s="2">
        <f t="shared" si="16"/>
        <v>33169303</v>
      </c>
      <c r="L116" s="1">
        <v>43228787</v>
      </c>
      <c r="M116" s="1">
        <v>7091738</v>
      </c>
      <c r="N116" s="1">
        <v>4005733</v>
      </c>
      <c r="O116" s="4">
        <f t="shared" si="17"/>
        <v>11097471</v>
      </c>
      <c r="P116" s="1">
        <v>5737573</v>
      </c>
      <c r="Q116" s="4">
        <f t="shared" si="18"/>
        <v>16835044</v>
      </c>
      <c r="R116" s="1">
        <v>30648047</v>
      </c>
      <c r="S116" s="1">
        <v>17524815</v>
      </c>
      <c r="T116" s="4">
        <f t="shared" si="19"/>
        <v>48172862</v>
      </c>
      <c r="U116" s="1">
        <v>65007906</v>
      </c>
      <c r="V116" s="1">
        <v>2019</v>
      </c>
      <c r="W116" s="8">
        <v>47954138</v>
      </c>
      <c r="X116" s="1">
        <v>0.313</v>
      </c>
      <c r="Y116" s="1">
        <v>0</v>
      </c>
      <c r="Z116" s="1">
        <v>0</v>
      </c>
      <c r="AA116" s="1">
        <v>188200000</v>
      </c>
      <c r="AB116" s="1">
        <v>3.7831551540913923E-2</v>
      </c>
      <c r="AC116" s="1">
        <v>1.0572364505844846E-2</v>
      </c>
      <c r="AD116" s="1">
        <v>0.11301544102019129</v>
      </c>
      <c r="AE116" s="1">
        <v>1.4825611052072264E-2</v>
      </c>
      <c r="AF116" s="2">
        <f t="shared" si="20"/>
        <v>0.12784105207226354</v>
      </c>
      <c r="AG116" s="2">
        <f>AF116+AC116</f>
        <v>0.13841341657810838</v>
      </c>
      <c r="AH116" s="1">
        <v>5.3451030818278428E-2</v>
      </c>
      <c r="AI116" s="2">
        <f t="shared" si="21"/>
        <v>0.17624496811902229</v>
      </c>
      <c r="AJ116" s="1">
        <v>3.7681923485653558E-2</v>
      </c>
      <c r="AK116" s="1">
        <v>2.1284447396386824E-2</v>
      </c>
      <c r="AL116" s="4">
        <f t="shared" si="22"/>
        <v>5.8966370882040382E-2</v>
      </c>
      <c r="AM116" s="1">
        <v>3.0486572794899042E-2</v>
      </c>
      <c r="AN116" s="4">
        <f t="shared" si="23"/>
        <v>8.9452943676939428E-2</v>
      </c>
      <c r="AO116" s="1">
        <v>0.16284828374070137</v>
      </c>
      <c r="AP116" s="1">
        <v>9.3118039319872475E-2</v>
      </c>
      <c r="AQ116" s="4">
        <f t="shared" si="24"/>
        <v>0.25596632306057387</v>
      </c>
      <c r="AR116" s="1">
        <v>0.34541926673751328</v>
      </c>
      <c r="AS116" s="1">
        <v>0.22969599893730075</v>
      </c>
      <c r="AT116" s="1">
        <v>0.42488473432518603</v>
      </c>
      <c r="AU116" s="1">
        <f t="shared" si="25"/>
        <v>0.25480413390010626</v>
      </c>
      <c r="AV116" s="1">
        <v>5</v>
      </c>
      <c r="AW116">
        <v>306</v>
      </c>
      <c r="AX116">
        <v>494</v>
      </c>
      <c r="AY116" s="6">
        <v>25</v>
      </c>
      <c r="AZ116" s="6">
        <v>32</v>
      </c>
      <c r="BA116" s="11">
        <f t="shared" si="26"/>
        <v>19.125</v>
      </c>
      <c r="BB116">
        <f t="shared" si="27"/>
        <v>30.875</v>
      </c>
      <c r="BC116">
        <f t="shared" si="28"/>
        <v>-188</v>
      </c>
      <c r="BD116">
        <f t="shared" si="29"/>
        <v>-11.75</v>
      </c>
      <c r="BE116" s="10">
        <v>2.60236578573243</v>
      </c>
      <c r="BF116" s="6">
        <v>25.315069999999999</v>
      </c>
      <c r="BG116" s="6">
        <v>27.558520000000001</v>
      </c>
      <c r="BH116" s="6">
        <v>0.67240599999999995</v>
      </c>
      <c r="BI116" s="6">
        <v>0.27397300000000002</v>
      </c>
      <c r="BJ116" s="6"/>
      <c r="BK116" s="6" t="s">
        <v>73</v>
      </c>
      <c r="BL116" s="6" t="s">
        <v>96</v>
      </c>
      <c r="BM116" s="6" t="s">
        <v>93</v>
      </c>
      <c r="BN116" s="6" t="s">
        <v>93</v>
      </c>
    </row>
    <row r="117" spans="1:66">
      <c r="A117" s="1" t="s">
        <v>227</v>
      </c>
      <c r="B117" s="1">
        <v>2019</v>
      </c>
      <c r="C117" s="1" t="s">
        <v>120</v>
      </c>
      <c r="D117" s="1">
        <v>29905000</v>
      </c>
      <c r="E117" s="1">
        <v>4409766</v>
      </c>
      <c r="F117" s="1">
        <v>22442158</v>
      </c>
      <c r="G117" s="1">
        <v>6058384</v>
      </c>
      <c r="H117" s="2">
        <f t="shared" si="15"/>
        <v>28500542</v>
      </c>
      <c r="I117" s="2">
        <f>H117+E117</f>
        <v>32910308</v>
      </c>
      <c r="J117" s="1">
        <v>24116130</v>
      </c>
      <c r="K117" s="2">
        <f t="shared" si="16"/>
        <v>62815308</v>
      </c>
      <c r="L117" s="1">
        <v>86931438</v>
      </c>
      <c r="M117" s="1">
        <v>15106796</v>
      </c>
      <c r="N117" s="1">
        <v>23691333</v>
      </c>
      <c r="O117" s="4">
        <f t="shared" si="17"/>
        <v>38798129</v>
      </c>
      <c r="P117" s="1">
        <v>12871959</v>
      </c>
      <c r="Q117" s="4">
        <f t="shared" si="18"/>
        <v>51670088</v>
      </c>
      <c r="R117" s="1">
        <v>15018703</v>
      </c>
      <c r="S117" s="1">
        <v>27075664</v>
      </c>
      <c r="T117" s="4">
        <f t="shared" si="19"/>
        <v>42094367</v>
      </c>
      <c r="U117" s="1">
        <v>93764455</v>
      </c>
      <c r="V117" s="1">
        <v>2019</v>
      </c>
      <c r="W117" s="8">
        <v>5438754</v>
      </c>
      <c r="X117" s="1">
        <v>0.625</v>
      </c>
      <c r="Y117" s="1">
        <v>1</v>
      </c>
      <c r="Z117" s="1">
        <v>0</v>
      </c>
      <c r="AA117" s="1">
        <v>188200000</v>
      </c>
      <c r="AB117" s="1">
        <v>0.15890010626992562</v>
      </c>
      <c r="AC117" s="1">
        <v>2.3431275239107333E-2</v>
      </c>
      <c r="AD117" s="1">
        <v>0.11924632306057385</v>
      </c>
      <c r="AE117" s="1">
        <v>3.2191200850159404E-2</v>
      </c>
      <c r="AF117" s="2">
        <f t="shared" si="20"/>
        <v>0.15143752391073326</v>
      </c>
      <c r="AG117" s="2">
        <f>AF117+AC117</f>
        <v>0.1748687991498406</v>
      </c>
      <c r="AH117" s="1">
        <v>0.12814096705632305</v>
      </c>
      <c r="AI117" s="2">
        <f t="shared" si="21"/>
        <v>0.33376890541976623</v>
      </c>
      <c r="AJ117" s="1">
        <v>8.0269904357066948E-2</v>
      </c>
      <c r="AK117" s="1">
        <v>0.12588380977683317</v>
      </c>
      <c r="AL117" s="4">
        <f t="shared" si="22"/>
        <v>0.2061537141339001</v>
      </c>
      <c r="AM117" s="1">
        <v>6.8395106269925607E-2</v>
      </c>
      <c r="AN117" s="4">
        <f t="shared" si="23"/>
        <v>0.27454882040382572</v>
      </c>
      <c r="AO117" s="1">
        <v>7.9801822529224228E-2</v>
      </c>
      <c r="AP117" s="1">
        <v>0.14386643995749204</v>
      </c>
      <c r="AQ117" s="4">
        <f t="shared" si="24"/>
        <v>0.22366826248671628</v>
      </c>
      <c r="AR117" s="1">
        <v>0.49821708289054195</v>
      </c>
      <c r="AS117" s="1">
        <v>0.46190987247608928</v>
      </c>
      <c r="AT117" s="1">
        <v>3.9873044633368826E-2</v>
      </c>
      <c r="AU117" s="1">
        <f t="shared" si="25"/>
        <v>2.8898799149840594E-2</v>
      </c>
      <c r="AV117" s="1">
        <v>10</v>
      </c>
      <c r="AW117">
        <v>407</v>
      </c>
      <c r="AX117">
        <v>303</v>
      </c>
      <c r="AY117" s="6">
        <v>8</v>
      </c>
      <c r="AZ117" s="6">
        <v>5</v>
      </c>
      <c r="BA117" s="11">
        <f t="shared" si="26"/>
        <v>25.4375</v>
      </c>
      <c r="BB117">
        <f t="shared" si="27"/>
        <v>18.9375</v>
      </c>
      <c r="BC117">
        <f t="shared" si="28"/>
        <v>104</v>
      </c>
      <c r="BD117">
        <f t="shared" si="29"/>
        <v>6.5</v>
      </c>
      <c r="BE117" s="10">
        <v>11.082999778101</v>
      </c>
      <c r="BF117" s="6">
        <v>25.964289999999998</v>
      </c>
      <c r="BG117" s="6">
        <v>28.326319999999999</v>
      </c>
      <c r="BH117" s="6">
        <v>0.65381</v>
      </c>
      <c r="BI117" s="6">
        <v>0.69642899999999996</v>
      </c>
      <c r="BJ117" s="6"/>
      <c r="BK117" s="6" t="s">
        <v>80</v>
      </c>
      <c r="BL117" s="6" t="s">
        <v>96</v>
      </c>
      <c r="BM117" s="6" t="s">
        <v>164</v>
      </c>
      <c r="BN117" s="6" t="s">
        <v>70</v>
      </c>
    </row>
    <row r="118" spans="1:66">
      <c r="A118" s="1" t="s">
        <v>228</v>
      </c>
      <c r="B118" s="1">
        <v>2019</v>
      </c>
      <c r="C118" s="1" t="s">
        <v>122</v>
      </c>
      <c r="D118" s="1">
        <v>22535204</v>
      </c>
      <c r="E118" s="1">
        <v>12229419</v>
      </c>
      <c r="F118" s="1">
        <v>18179022</v>
      </c>
      <c r="G118" s="1">
        <v>2677268</v>
      </c>
      <c r="H118" s="2">
        <f t="shared" si="15"/>
        <v>20856290</v>
      </c>
      <c r="I118" s="2">
        <f>H118+E118</f>
        <v>33085709</v>
      </c>
      <c r="J118" s="1">
        <v>23741152</v>
      </c>
      <c r="K118" s="2">
        <f t="shared" si="16"/>
        <v>55620913</v>
      </c>
      <c r="L118" s="1">
        <v>79362065</v>
      </c>
      <c r="M118" s="1">
        <v>6821358</v>
      </c>
      <c r="N118" s="1">
        <v>10952860</v>
      </c>
      <c r="O118" s="4">
        <f t="shared" si="17"/>
        <v>17774218</v>
      </c>
      <c r="P118" s="1">
        <v>19123431</v>
      </c>
      <c r="Q118" s="4">
        <f t="shared" si="18"/>
        <v>36897649</v>
      </c>
      <c r="R118" s="1">
        <v>27918225</v>
      </c>
      <c r="S118" s="1">
        <v>18863654</v>
      </c>
      <c r="T118" s="4">
        <f t="shared" si="19"/>
        <v>46781879</v>
      </c>
      <c r="U118" s="1">
        <v>83679528</v>
      </c>
      <c r="V118" s="1">
        <v>2019</v>
      </c>
      <c r="W118" s="8">
        <v>10121912</v>
      </c>
      <c r="X118" s="1">
        <v>0.75</v>
      </c>
      <c r="Y118" s="1">
        <v>1</v>
      </c>
      <c r="Z118" s="1">
        <v>0</v>
      </c>
      <c r="AA118" s="1">
        <v>188200000</v>
      </c>
      <c r="AB118" s="1">
        <v>0.11974072263549415</v>
      </c>
      <c r="AC118" s="1">
        <v>6.498097236981934E-2</v>
      </c>
      <c r="AD118" s="1">
        <v>9.6594165781083957E-2</v>
      </c>
      <c r="AE118" s="1">
        <v>1.4225653560042508E-2</v>
      </c>
      <c r="AF118" s="2">
        <f t="shared" si="20"/>
        <v>0.11081981934112646</v>
      </c>
      <c r="AG118" s="2">
        <f>AF118+AC118</f>
        <v>0.17580079171094581</v>
      </c>
      <c r="AH118" s="1">
        <v>0.12614852284803402</v>
      </c>
      <c r="AI118" s="2">
        <f t="shared" si="21"/>
        <v>0.29554151434643999</v>
      </c>
      <c r="AJ118" s="1">
        <v>3.6245260361317748E-2</v>
      </c>
      <c r="AK118" s="1">
        <v>5.8197980871413389E-2</v>
      </c>
      <c r="AL118" s="4">
        <f t="shared" si="22"/>
        <v>9.4443241232731137E-2</v>
      </c>
      <c r="AM118" s="1">
        <v>0.10161227948990435</v>
      </c>
      <c r="AN118" s="4">
        <f t="shared" si="23"/>
        <v>0.19605552072263549</v>
      </c>
      <c r="AO118" s="1">
        <v>0.14834338469713071</v>
      </c>
      <c r="AP118" s="1">
        <v>0.10023195536663124</v>
      </c>
      <c r="AQ118" s="4">
        <f t="shared" si="24"/>
        <v>0.24857534006376195</v>
      </c>
      <c r="AR118" s="1">
        <v>0.44463086078639746</v>
      </c>
      <c r="AS118" s="1">
        <v>0.42169003719447395</v>
      </c>
      <c r="AT118" s="1">
        <v>0.13367910201912858</v>
      </c>
      <c r="AU118" s="1">
        <f t="shared" si="25"/>
        <v>5.3782741764080766E-2</v>
      </c>
      <c r="AV118" s="1">
        <v>12</v>
      </c>
      <c r="AW118">
        <v>420</v>
      </c>
      <c r="AX118">
        <v>225</v>
      </c>
      <c r="AY118" s="6">
        <v>7</v>
      </c>
      <c r="AZ118" s="6">
        <v>1</v>
      </c>
      <c r="BA118" s="11">
        <f t="shared" si="26"/>
        <v>26.25</v>
      </c>
      <c r="BB118">
        <f t="shared" si="27"/>
        <v>14.0625</v>
      </c>
      <c r="BC118">
        <f t="shared" si="28"/>
        <v>195</v>
      </c>
      <c r="BD118">
        <f t="shared" si="29"/>
        <v>12.1875</v>
      </c>
      <c r="BE118" s="10">
        <v>13.725937083941799</v>
      </c>
      <c r="BF118" s="6">
        <v>27.174600000000002</v>
      </c>
      <c r="BG118" s="6">
        <v>30.355920000000001</v>
      </c>
      <c r="BH118" s="6">
        <v>0.56815199999999999</v>
      </c>
      <c r="BI118" s="6">
        <v>0.58730199999999999</v>
      </c>
      <c r="BJ118" s="6"/>
      <c r="BK118" s="6" t="s">
        <v>67</v>
      </c>
      <c r="BL118" s="6" t="s">
        <v>74</v>
      </c>
      <c r="BM118" s="6" t="s">
        <v>102</v>
      </c>
      <c r="BN118" s="6" t="s">
        <v>70</v>
      </c>
    </row>
    <row r="119" spans="1:66">
      <c r="A119" s="1" t="s">
        <v>229</v>
      </c>
      <c r="B119" s="1">
        <v>2019</v>
      </c>
      <c r="C119" s="1" t="s">
        <v>124</v>
      </c>
      <c r="D119" s="1">
        <v>26595000</v>
      </c>
      <c r="E119" s="1">
        <v>3756693</v>
      </c>
      <c r="F119" s="1">
        <v>13051443</v>
      </c>
      <c r="G119" s="1">
        <v>6502176</v>
      </c>
      <c r="H119" s="2">
        <f t="shared" si="15"/>
        <v>19553619</v>
      </c>
      <c r="I119" s="2">
        <f>H119+E119</f>
        <v>23310312</v>
      </c>
      <c r="J119" s="1">
        <v>42560951</v>
      </c>
      <c r="K119" s="2">
        <f t="shared" si="16"/>
        <v>49905312</v>
      </c>
      <c r="L119" s="1">
        <v>92466263</v>
      </c>
      <c r="M119" s="1">
        <v>10807620</v>
      </c>
      <c r="N119" s="1">
        <v>14664025</v>
      </c>
      <c r="O119" s="4">
        <f t="shared" si="17"/>
        <v>25471645</v>
      </c>
      <c r="P119" s="1">
        <v>20311789</v>
      </c>
      <c r="Q119" s="4">
        <f t="shared" si="18"/>
        <v>45783434</v>
      </c>
      <c r="R119" s="1">
        <v>4190537</v>
      </c>
      <c r="S119" s="1">
        <v>16638197</v>
      </c>
      <c r="T119" s="4">
        <f t="shared" si="19"/>
        <v>20828734</v>
      </c>
      <c r="U119" s="1">
        <v>66612168</v>
      </c>
      <c r="V119" s="1">
        <v>2019</v>
      </c>
      <c r="W119" s="8">
        <v>12640339</v>
      </c>
      <c r="X119" s="1">
        <v>0.81299999999999994</v>
      </c>
      <c r="Y119" s="1">
        <v>1</v>
      </c>
      <c r="Z119" s="1">
        <v>0</v>
      </c>
      <c r="AA119" s="1">
        <v>188200000</v>
      </c>
      <c r="AB119" s="1">
        <v>0.1413124335812965</v>
      </c>
      <c r="AC119" s="1">
        <v>1.9961174282678001E-2</v>
      </c>
      <c r="AD119" s="1">
        <v>6.9348793836344319E-2</v>
      </c>
      <c r="AE119" s="1">
        <v>3.4549287991498409E-2</v>
      </c>
      <c r="AF119" s="2">
        <f t="shared" si="20"/>
        <v>0.10389808182784273</v>
      </c>
      <c r="AG119" s="2">
        <f>AF119+AC119</f>
        <v>0.12385925611052073</v>
      </c>
      <c r="AH119" s="1">
        <v>0.22614745483528162</v>
      </c>
      <c r="AI119" s="2">
        <f t="shared" si="21"/>
        <v>0.2651716896918172</v>
      </c>
      <c r="AJ119" s="1">
        <v>5.7426248671625928E-2</v>
      </c>
      <c r="AK119" s="1">
        <v>7.79172422954304E-2</v>
      </c>
      <c r="AL119" s="4">
        <f t="shared" si="22"/>
        <v>0.13534349096705633</v>
      </c>
      <c r="AM119" s="1">
        <v>0.10792661530286929</v>
      </c>
      <c r="AN119" s="4">
        <f t="shared" si="23"/>
        <v>0.24327010626992562</v>
      </c>
      <c r="AO119" s="1">
        <v>2.2266402763018067E-2</v>
      </c>
      <c r="AP119" s="1">
        <v>8.840699787460149E-2</v>
      </c>
      <c r="AQ119" s="4">
        <f t="shared" si="24"/>
        <v>0.11067340063761956</v>
      </c>
      <c r="AR119" s="1">
        <v>0.35394350690754517</v>
      </c>
      <c r="AS119" s="1">
        <v>0.49131914452709885</v>
      </c>
      <c r="AT119" s="1">
        <v>0.15473734856535604</v>
      </c>
      <c r="AU119" s="1">
        <f t="shared" si="25"/>
        <v>6.7164394261424024E-2</v>
      </c>
      <c r="AV119" s="1">
        <v>13</v>
      </c>
      <c r="AW119">
        <v>458</v>
      </c>
      <c r="AX119">
        <v>341</v>
      </c>
      <c r="AY119" s="6">
        <v>3</v>
      </c>
      <c r="AZ119" s="6">
        <v>13</v>
      </c>
      <c r="BA119" s="11">
        <f t="shared" si="26"/>
        <v>28.625</v>
      </c>
      <c r="BB119">
        <f t="shared" si="27"/>
        <v>21.3125</v>
      </c>
      <c r="BC119">
        <f t="shared" si="28"/>
        <v>117</v>
      </c>
      <c r="BD119">
        <f t="shared" si="29"/>
        <v>7.3125</v>
      </c>
      <c r="BE119" s="10">
        <v>11.4605622503639</v>
      </c>
      <c r="BF119" s="6">
        <v>26.446149999999999</v>
      </c>
      <c r="BG119" s="6">
        <v>29.26679</v>
      </c>
      <c r="BH119" s="6">
        <v>0.61255899999999996</v>
      </c>
      <c r="BI119" s="6">
        <v>0.6</v>
      </c>
      <c r="BJ119" s="6"/>
      <c r="BK119" s="6" t="s">
        <v>67</v>
      </c>
      <c r="BL119" s="6" t="s">
        <v>68</v>
      </c>
      <c r="BM119" s="6" t="s">
        <v>69</v>
      </c>
      <c r="BN119" s="6" t="s">
        <v>70</v>
      </c>
    </row>
    <row r="120" spans="1:66">
      <c r="A120" s="1" t="s">
        <v>230</v>
      </c>
      <c r="B120" s="1">
        <v>2019</v>
      </c>
      <c r="C120" s="1" t="s">
        <v>126</v>
      </c>
      <c r="D120" s="1">
        <v>28405163</v>
      </c>
      <c r="E120" s="1">
        <v>8989981</v>
      </c>
      <c r="F120" s="1">
        <v>16166352</v>
      </c>
      <c r="G120" s="1">
        <v>8759798</v>
      </c>
      <c r="H120" s="2">
        <f t="shared" si="15"/>
        <v>24926150</v>
      </c>
      <c r="I120" s="2">
        <f>H120+E120</f>
        <v>33916131</v>
      </c>
      <c r="J120" s="1">
        <v>26599108</v>
      </c>
      <c r="K120" s="2">
        <f t="shared" si="16"/>
        <v>62321294</v>
      </c>
      <c r="L120" s="1">
        <v>88920402</v>
      </c>
      <c r="M120" s="1">
        <v>7672043</v>
      </c>
      <c r="N120" s="1">
        <v>10746861</v>
      </c>
      <c r="O120" s="4">
        <f t="shared" si="17"/>
        <v>18418904</v>
      </c>
      <c r="P120" s="1">
        <v>14231925</v>
      </c>
      <c r="Q120" s="4">
        <f t="shared" si="18"/>
        <v>32650829</v>
      </c>
      <c r="R120" s="1">
        <v>8300429</v>
      </c>
      <c r="S120" s="1">
        <v>5000958</v>
      </c>
      <c r="T120" s="4">
        <f t="shared" si="19"/>
        <v>13301387</v>
      </c>
      <c r="U120" s="1">
        <v>45952216</v>
      </c>
      <c r="V120" s="1">
        <v>2019</v>
      </c>
      <c r="W120" s="8">
        <v>14358124</v>
      </c>
      <c r="X120" s="1">
        <v>0.25</v>
      </c>
      <c r="Y120" s="1">
        <v>0</v>
      </c>
      <c r="Z120" s="1">
        <v>0</v>
      </c>
      <c r="AA120" s="1">
        <v>188200000</v>
      </c>
      <c r="AB120" s="1">
        <v>0.15093072794899043</v>
      </c>
      <c r="AC120" s="1">
        <v>4.7768230605738579E-2</v>
      </c>
      <c r="AD120" s="1">
        <v>8.589985122210414E-2</v>
      </c>
      <c r="AE120" s="1">
        <v>4.6545154091392135E-2</v>
      </c>
      <c r="AF120" s="2">
        <f t="shared" si="20"/>
        <v>0.13244500531349629</v>
      </c>
      <c r="AG120" s="2">
        <f>AF120+AC120</f>
        <v>0.18021323591923488</v>
      </c>
      <c r="AH120" s="1">
        <v>0.141334261424017</v>
      </c>
      <c r="AI120" s="2">
        <f t="shared" si="21"/>
        <v>0.33114396386822531</v>
      </c>
      <c r="AJ120" s="1">
        <v>4.0765371944739635E-2</v>
      </c>
      <c r="AK120" s="1">
        <v>5.7103405951115835E-2</v>
      </c>
      <c r="AL120" s="4">
        <f t="shared" si="22"/>
        <v>9.7868777895855463E-2</v>
      </c>
      <c r="AM120" s="1">
        <v>7.5621280552603615E-2</v>
      </c>
      <c r="AN120" s="4">
        <f t="shared" si="23"/>
        <v>0.17349005844845908</v>
      </c>
      <c r="AO120" s="1">
        <v>4.4104298618490967E-2</v>
      </c>
      <c r="AP120" s="1">
        <v>2.6572571732199787E-2</v>
      </c>
      <c r="AQ120" s="4">
        <f t="shared" si="24"/>
        <v>7.0676870350690757E-2</v>
      </c>
      <c r="AR120" s="1">
        <v>0.24416692879914983</v>
      </c>
      <c r="AS120" s="1">
        <v>0.47247822529224232</v>
      </c>
      <c r="AT120" s="1">
        <v>0.28335484590860782</v>
      </c>
      <c r="AU120" s="1">
        <f t="shared" si="25"/>
        <v>7.6291838469713075E-2</v>
      </c>
      <c r="AV120" s="1">
        <v>4</v>
      </c>
      <c r="AW120">
        <v>341</v>
      </c>
      <c r="AX120">
        <v>451</v>
      </c>
      <c r="AY120" s="6">
        <v>18</v>
      </c>
      <c r="AZ120" s="6">
        <v>30</v>
      </c>
      <c r="BA120" s="11">
        <f t="shared" si="26"/>
        <v>21.3125</v>
      </c>
      <c r="BB120">
        <f t="shared" si="27"/>
        <v>28.1875</v>
      </c>
      <c r="BC120">
        <f t="shared" si="28"/>
        <v>-110</v>
      </c>
      <c r="BD120">
        <f t="shared" si="29"/>
        <v>-6.875</v>
      </c>
      <c r="BE120" s="10">
        <v>4.8677406193103296</v>
      </c>
      <c r="BF120" s="6">
        <v>25.71875</v>
      </c>
      <c r="BG120" s="6">
        <v>28.755759999999999</v>
      </c>
      <c r="BH120" s="6">
        <v>0.63994600000000001</v>
      </c>
      <c r="BI120" s="6">
        <v>0.46969699999999998</v>
      </c>
      <c r="BJ120" s="6"/>
      <c r="BK120" s="6" t="s">
        <v>67</v>
      </c>
      <c r="BL120" s="6" t="s">
        <v>96</v>
      </c>
      <c r="BM120" s="6" t="s">
        <v>70</v>
      </c>
      <c r="BN120" s="6" t="s">
        <v>70</v>
      </c>
    </row>
    <row r="121" spans="1:66">
      <c r="A121" s="1" t="s">
        <v>231</v>
      </c>
      <c r="B121" s="1">
        <v>2019</v>
      </c>
      <c r="C121" s="1" t="s">
        <v>128</v>
      </c>
      <c r="D121" s="1">
        <v>9491711</v>
      </c>
      <c r="E121" s="1">
        <v>11432801</v>
      </c>
      <c r="F121" s="1">
        <v>19374147</v>
      </c>
      <c r="G121" s="1">
        <v>3093662</v>
      </c>
      <c r="H121" s="2">
        <f t="shared" si="15"/>
        <v>22467809</v>
      </c>
      <c r="I121" s="2">
        <f>H121+E121</f>
        <v>33900610</v>
      </c>
      <c r="J121" s="1">
        <v>35809241</v>
      </c>
      <c r="K121" s="2">
        <f t="shared" si="16"/>
        <v>43392321</v>
      </c>
      <c r="L121" s="1">
        <v>79201562</v>
      </c>
      <c r="M121" s="1">
        <v>18448512</v>
      </c>
      <c r="N121" s="1">
        <v>6035480</v>
      </c>
      <c r="O121" s="4">
        <f t="shared" si="17"/>
        <v>24483992</v>
      </c>
      <c r="P121" s="1">
        <v>25047180</v>
      </c>
      <c r="Q121" s="4">
        <f t="shared" si="18"/>
        <v>49531172</v>
      </c>
      <c r="R121" s="1">
        <v>11243424</v>
      </c>
      <c r="S121" s="1">
        <v>22098745</v>
      </c>
      <c r="T121" s="4">
        <f t="shared" si="19"/>
        <v>33342169</v>
      </c>
      <c r="U121" s="1">
        <v>82873341</v>
      </c>
      <c r="V121" s="1">
        <v>2019</v>
      </c>
      <c r="W121" s="8">
        <v>64158771</v>
      </c>
      <c r="X121" s="1">
        <v>0.438</v>
      </c>
      <c r="Y121" s="1">
        <v>0</v>
      </c>
      <c r="Z121" s="1">
        <v>0</v>
      </c>
      <c r="AA121" s="1">
        <v>188200000</v>
      </c>
      <c r="AB121" s="1">
        <v>5.0434171094580232E-2</v>
      </c>
      <c r="AC121" s="1">
        <v>6.0748145589798089E-2</v>
      </c>
      <c r="AD121" s="1">
        <v>0.10294445802337938</v>
      </c>
      <c r="AE121" s="1">
        <v>1.6438161530286929E-2</v>
      </c>
      <c r="AF121" s="2">
        <f t="shared" si="20"/>
        <v>0.11938261955366632</v>
      </c>
      <c r="AG121" s="2">
        <f>AF121+AC121</f>
        <v>0.18013076514346441</v>
      </c>
      <c r="AH121" s="1">
        <v>0.19027226886291179</v>
      </c>
      <c r="AI121" s="2">
        <f t="shared" si="21"/>
        <v>0.23056493623804464</v>
      </c>
      <c r="AJ121" s="1">
        <v>9.8026099893730068E-2</v>
      </c>
      <c r="AK121" s="1">
        <v>3.2069500531349625E-2</v>
      </c>
      <c r="AL121" s="4">
        <f t="shared" si="22"/>
        <v>0.1300956004250797</v>
      </c>
      <c r="AM121" s="1">
        <v>0.13308809776833155</v>
      </c>
      <c r="AN121" s="4">
        <f t="shared" si="23"/>
        <v>0.26318369819341125</v>
      </c>
      <c r="AO121" s="1">
        <v>5.9741891604675877E-2</v>
      </c>
      <c r="AP121" s="1">
        <v>0.11742159936238045</v>
      </c>
      <c r="AQ121" s="4">
        <f t="shared" si="24"/>
        <v>0.17716349096705633</v>
      </c>
      <c r="AR121" s="1">
        <v>0.44034718916046761</v>
      </c>
      <c r="AS121" s="1">
        <v>0.4208372051009564</v>
      </c>
      <c r="AT121" s="1">
        <v>0.13881560573857599</v>
      </c>
      <c r="AU121" s="1">
        <f t="shared" si="25"/>
        <v>0.34090739107332624</v>
      </c>
      <c r="AV121" s="1">
        <v>7</v>
      </c>
      <c r="AW121">
        <v>276</v>
      </c>
      <c r="AX121">
        <v>359</v>
      </c>
      <c r="AY121" s="6">
        <v>31</v>
      </c>
      <c r="AZ121" s="6">
        <v>16</v>
      </c>
      <c r="BA121" s="11">
        <f t="shared" si="26"/>
        <v>17.25</v>
      </c>
      <c r="BB121">
        <f t="shared" si="27"/>
        <v>22.4375</v>
      </c>
      <c r="BC121">
        <f t="shared" si="28"/>
        <v>-83</v>
      </c>
      <c r="BD121">
        <f t="shared" si="29"/>
        <v>-5.1875</v>
      </c>
      <c r="BE121" s="10">
        <v>5.65190883093344</v>
      </c>
      <c r="BF121" s="6">
        <v>26.315069999999999</v>
      </c>
      <c r="BG121" s="6">
        <v>27.307549999999999</v>
      </c>
      <c r="BH121" s="6">
        <v>0.61622200000000005</v>
      </c>
      <c r="BI121" s="6">
        <v>0.369863</v>
      </c>
      <c r="BJ121" s="6"/>
      <c r="BK121" s="6" t="s">
        <v>73</v>
      </c>
      <c r="BL121" s="6" t="s">
        <v>68</v>
      </c>
      <c r="BM121" s="6" t="s">
        <v>99</v>
      </c>
      <c r="BN121" s="6" t="s">
        <v>93</v>
      </c>
    </row>
    <row r="122" spans="1:66">
      <c r="A122" s="1" t="s">
        <v>232</v>
      </c>
      <c r="B122" s="1">
        <v>2019</v>
      </c>
      <c r="C122" s="1" t="s">
        <v>112</v>
      </c>
      <c r="D122" s="1">
        <v>25688481</v>
      </c>
      <c r="E122" s="1">
        <v>8002165</v>
      </c>
      <c r="F122" s="1">
        <v>14399349</v>
      </c>
      <c r="G122" s="1">
        <v>5767514</v>
      </c>
      <c r="H122" s="2">
        <f>SUM(F122:G122)</f>
        <v>20166863</v>
      </c>
      <c r="I122" s="2">
        <f>H122+E122</f>
        <v>28169028</v>
      </c>
      <c r="J122" s="1">
        <v>40914105</v>
      </c>
      <c r="K122" s="2">
        <f>SUM(D122:G122)</f>
        <v>53857509</v>
      </c>
      <c r="L122" s="1">
        <v>94771614</v>
      </c>
      <c r="M122" s="1">
        <v>5970975</v>
      </c>
      <c r="N122" s="1">
        <v>10718493</v>
      </c>
      <c r="O122" s="4">
        <f>SUM(M122:N122)</f>
        <v>16689468</v>
      </c>
      <c r="P122" s="1">
        <v>8512658</v>
      </c>
      <c r="Q122" s="4">
        <f>SUM(O122:P122)</f>
        <v>25202126</v>
      </c>
      <c r="R122" s="1">
        <v>19976408</v>
      </c>
      <c r="S122" s="1">
        <v>9652415</v>
      </c>
      <c r="T122" s="4">
        <f>SUM(R122:S122)</f>
        <v>29628823</v>
      </c>
      <c r="U122" s="1">
        <v>54830949</v>
      </c>
      <c r="V122" s="1">
        <v>2019</v>
      </c>
      <c r="W122" s="8">
        <v>30142965</v>
      </c>
      <c r="X122" s="1">
        <v>0.438</v>
      </c>
      <c r="Y122" s="1">
        <v>0</v>
      </c>
      <c r="Z122" s="1">
        <v>0</v>
      </c>
      <c r="AA122" s="1">
        <v>188200000</v>
      </c>
      <c r="AB122" s="1">
        <v>0.13649564824654623</v>
      </c>
      <c r="AC122" s="1">
        <v>4.2519473963868223E-2</v>
      </c>
      <c r="AD122" s="1">
        <v>7.6510887353878856E-2</v>
      </c>
      <c r="AE122" s="1">
        <v>3.0645664187035068E-2</v>
      </c>
      <c r="AF122" s="2">
        <f>SUM(AD122:AE122)</f>
        <v>0.10715655154091393</v>
      </c>
      <c r="AG122" s="2">
        <f>AF122+AC122</f>
        <v>0.14967602550478215</v>
      </c>
      <c r="AH122" s="1">
        <v>0.21739694473963869</v>
      </c>
      <c r="AI122" s="2">
        <f>SUM(AB122:AE122)</f>
        <v>0.28617167375132835</v>
      </c>
      <c r="AJ122" s="1">
        <v>3.1726753453772585E-2</v>
      </c>
      <c r="AK122" s="1">
        <v>5.6952672688629115E-2</v>
      </c>
      <c r="AL122" s="4">
        <f>SUM(AJ122:AK122)</f>
        <v>8.8679426142401707E-2</v>
      </c>
      <c r="AM122" s="1">
        <v>4.5231976620616364E-2</v>
      </c>
      <c r="AN122" s="4">
        <f>SUM(AL122:AM122)</f>
        <v>0.13391140276301808</v>
      </c>
      <c r="AO122" s="1">
        <v>0.10614456960680127</v>
      </c>
      <c r="AP122" s="1">
        <v>5.128807120085016E-2</v>
      </c>
      <c r="AQ122" s="4">
        <f>SUM(AO122:AP122)</f>
        <v>0.15743264080765143</v>
      </c>
      <c r="AR122" s="1">
        <v>0.29134404357066951</v>
      </c>
      <c r="AS122" s="1">
        <v>0.50356861849096701</v>
      </c>
      <c r="AT122" s="1">
        <v>0.20508733793836353</v>
      </c>
      <c r="AU122" s="1">
        <f t="shared" si="25"/>
        <v>0.16016453241232731</v>
      </c>
      <c r="AV122" s="1">
        <v>7</v>
      </c>
      <c r="AW122">
        <v>313</v>
      </c>
      <c r="AX122">
        <v>419</v>
      </c>
      <c r="AY122" s="6">
        <v>24</v>
      </c>
      <c r="AZ122" s="6">
        <v>24</v>
      </c>
      <c r="BA122" s="11">
        <f t="shared" si="26"/>
        <v>19.5625</v>
      </c>
      <c r="BB122">
        <f t="shared" si="27"/>
        <v>26.1875</v>
      </c>
      <c r="BC122">
        <f t="shared" si="28"/>
        <v>-106</v>
      </c>
      <c r="BD122">
        <f t="shared" si="29"/>
        <v>-6.625</v>
      </c>
      <c r="BE122" s="10">
        <v>4.9839136876989398</v>
      </c>
      <c r="BF122" s="6">
        <v>25.63636</v>
      </c>
      <c r="BG122" s="6">
        <v>26.83812</v>
      </c>
      <c r="BH122" s="6">
        <v>0.643347</v>
      </c>
      <c r="BI122" s="6">
        <v>0.45454499999999998</v>
      </c>
      <c r="BJ122" s="6"/>
      <c r="BK122" s="6" t="s">
        <v>73</v>
      </c>
      <c r="BL122" s="6" t="s">
        <v>96</v>
      </c>
      <c r="BM122" s="6" t="s">
        <v>93</v>
      </c>
      <c r="BN122" s="6" t="s">
        <v>93</v>
      </c>
    </row>
    <row r="123" spans="1:66">
      <c r="A123" s="1" t="s">
        <v>233</v>
      </c>
      <c r="B123" s="1">
        <v>2019</v>
      </c>
      <c r="C123" s="1" t="s">
        <v>130</v>
      </c>
      <c r="D123" s="1">
        <v>14278779</v>
      </c>
      <c r="E123" s="1">
        <v>5468274</v>
      </c>
      <c r="F123" s="1">
        <v>19997045</v>
      </c>
      <c r="G123" s="1">
        <v>7822805</v>
      </c>
      <c r="H123" s="2">
        <f t="shared" si="15"/>
        <v>27819850</v>
      </c>
      <c r="I123" s="2">
        <f>H123+E123</f>
        <v>33288124</v>
      </c>
      <c r="J123" s="1">
        <v>36444965</v>
      </c>
      <c r="K123" s="2">
        <f t="shared" si="16"/>
        <v>47566903</v>
      </c>
      <c r="L123" s="1">
        <v>84011868</v>
      </c>
      <c r="M123" s="1">
        <v>17465235</v>
      </c>
      <c r="N123" s="1">
        <v>11566811</v>
      </c>
      <c r="O123" s="4">
        <f t="shared" si="17"/>
        <v>29032046</v>
      </c>
      <c r="P123" s="1">
        <v>7692784</v>
      </c>
      <c r="Q123" s="4">
        <f t="shared" si="18"/>
        <v>36724830</v>
      </c>
      <c r="R123" s="1">
        <v>20577441</v>
      </c>
      <c r="S123" s="1">
        <v>9679240</v>
      </c>
      <c r="T123" s="4">
        <f t="shared" si="19"/>
        <v>30256681</v>
      </c>
      <c r="U123" s="1">
        <v>66981511</v>
      </c>
      <c r="V123" s="1">
        <v>2019</v>
      </c>
      <c r="W123" s="8">
        <v>30019958</v>
      </c>
      <c r="X123" s="1">
        <v>0.56299999999999994</v>
      </c>
      <c r="Y123" s="1">
        <v>1</v>
      </c>
      <c r="Z123" s="1">
        <v>0</v>
      </c>
      <c r="AA123" s="1">
        <v>188200000</v>
      </c>
      <c r="AB123" s="1">
        <v>7.5870239107332621E-2</v>
      </c>
      <c r="AC123" s="1">
        <v>2.905565356004251E-2</v>
      </c>
      <c r="AD123" s="1">
        <v>0.10625422422954305</v>
      </c>
      <c r="AE123" s="1">
        <v>4.1566445270988309E-2</v>
      </c>
      <c r="AF123" s="2">
        <f t="shared" si="20"/>
        <v>0.14782066950053135</v>
      </c>
      <c r="AG123" s="2">
        <f>AF123+AC123</f>
        <v>0.17687632306057385</v>
      </c>
      <c r="AH123" s="1">
        <v>0.19365018597236983</v>
      </c>
      <c r="AI123" s="2">
        <f t="shared" si="21"/>
        <v>0.25274656216790647</v>
      </c>
      <c r="AJ123" s="1">
        <v>9.2801461211477157E-2</v>
      </c>
      <c r="AK123" s="1">
        <v>6.1460207226354945E-2</v>
      </c>
      <c r="AL123" s="4">
        <f t="shared" si="22"/>
        <v>0.15426166843783209</v>
      </c>
      <c r="AM123" s="1">
        <v>4.0875579171094578E-2</v>
      </c>
      <c r="AN123" s="4">
        <f t="shared" si="23"/>
        <v>0.19513724760892667</v>
      </c>
      <c r="AO123" s="1">
        <v>0.10933815621679065</v>
      </c>
      <c r="AP123" s="1">
        <v>5.1430605738575982E-2</v>
      </c>
      <c r="AQ123" s="4">
        <f t="shared" si="24"/>
        <v>0.16076876195536663</v>
      </c>
      <c r="AR123" s="1">
        <v>0.3559060095642933</v>
      </c>
      <c r="AS123" s="1">
        <v>0.4463967481402763</v>
      </c>
      <c r="AT123" s="1">
        <v>0.1976972422954304</v>
      </c>
      <c r="AU123" s="1">
        <f t="shared" si="25"/>
        <v>0.15951093517534537</v>
      </c>
      <c r="AV123" s="1">
        <v>9</v>
      </c>
      <c r="AW123">
        <v>385</v>
      </c>
      <c r="AX123">
        <v>354</v>
      </c>
      <c r="AY123" s="6">
        <v>12</v>
      </c>
      <c r="AZ123" s="6">
        <v>15</v>
      </c>
      <c r="BA123" s="11">
        <f t="shared" si="26"/>
        <v>24.0625</v>
      </c>
      <c r="BB123">
        <f t="shared" si="27"/>
        <v>22.125</v>
      </c>
      <c r="BC123">
        <f t="shared" si="28"/>
        <v>31</v>
      </c>
      <c r="BD123">
        <f t="shared" si="29"/>
        <v>1.9375</v>
      </c>
      <c r="BE123" s="10">
        <v>8.9628412800088206</v>
      </c>
      <c r="BF123" s="6">
        <v>26.107690000000002</v>
      </c>
      <c r="BG123" s="6">
        <v>28.64001</v>
      </c>
      <c r="BH123" s="6">
        <v>0.60638800000000004</v>
      </c>
      <c r="BI123" s="6">
        <v>0.61538499999999996</v>
      </c>
      <c r="BJ123" s="6"/>
      <c r="BK123" s="6" t="s">
        <v>67</v>
      </c>
      <c r="BL123" s="6" t="s">
        <v>68</v>
      </c>
      <c r="BM123" s="6" t="s">
        <v>69</v>
      </c>
      <c r="BN123" s="6" t="s">
        <v>70</v>
      </c>
    </row>
    <row r="124" spans="1:66">
      <c r="A124" s="1" t="s">
        <v>234</v>
      </c>
      <c r="B124" s="1">
        <v>2019</v>
      </c>
      <c r="C124" s="1" t="s">
        <v>132</v>
      </c>
      <c r="D124" s="1">
        <v>27991392</v>
      </c>
      <c r="E124" s="1">
        <v>1766913</v>
      </c>
      <c r="F124" s="1">
        <v>4570576</v>
      </c>
      <c r="G124" s="1">
        <v>8105668</v>
      </c>
      <c r="H124" s="2">
        <f t="shared" si="15"/>
        <v>12676244</v>
      </c>
      <c r="I124" s="2">
        <f>H124+E124</f>
        <v>14443157</v>
      </c>
      <c r="J124" s="1">
        <v>36091768</v>
      </c>
      <c r="K124" s="2">
        <f t="shared" si="16"/>
        <v>42434549</v>
      </c>
      <c r="L124" s="1">
        <v>78526317</v>
      </c>
      <c r="M124" s="1">
        <v>31563825</v>
      </c>
      <c r="N124" s="1">
        <v>14409336</v>
      </c>
      <c r="O124" s="4">
        <f t="shared" si="17"/>
        <v>45973161</v>
      </c>
      <c r="P124" s="1">
        <v>13056501</v>
      </c>
      <c r="Q124" s="4">
        <f t="shared" si="18"/>
        <v>59029662</v>
      </c>
      <c r="R124" s="1">
        <v>5534972</v>
      </c>
      <c r="S124" s="1">
        <v>18112322</v>
      </c>
      <c r="T124" s="4">
        <f t="shared" si="19"/>
        <v>23647294</v>
      </c>
      <c r="U124" s="1">
        <v>82676956</v>
      </c>
      <c r="V124" s="1">
        <v>2019</v>
      </c>
      <c r="W124" s="8">
        <v>42210117</v>
      </c>
      <c r="X124" s="1">
        <v>0.5</v>
      </c>
      <c r="Y124" s="1">
        <v>0</v>
      </c>
      <c r="Z124" s="1">
        <v>0</v>
      </c>
      <c r="AA124" s="1">
        <v>188200000</v>
      </c>
      <c r="AB124" s="1">
        <v>0.14873215727948991</v>
      </c>
      <c r="AC124" s="1">
        <v>9.3884856535600431E-3</v>
      </c>
      <c r="AD124" s="1">
        <v>2.4285738575982995E-2</v>
      </c>
      <c r="AE124" s="1">
        <v>4.3069436769394259E-2</v>
      </c>
      <c r="AF124" s="2">
        <f t="shared" si="20"/>
        <v>6.7355175345377258E-2</v>
      </c>
      <c r="AG124" s="2">
        <f>AF124+AC124</f>
        <v>7.6743660998937299E-2</v>
      </c>
      <c r="AH124" s="1">
        <v>0.19177347502656747</v>
      </c>
      <c r="AI124" s="2">
        <f t="shared" si="21"/>
        <v>0.22547581827842719</v>
      </c>
      <c r="AJ124" s="1">
        <v>0.16771426673751327</v>
      </c>
      <c r="AK124" s="1">
        <v>7.6563953241232732E-2</v>
      </c>
      <c r="AL124" s="4">
        <f t="shared" si="22"/>
        <v>0.24427821997874599</v>
      </c>
      <c r="AM124" s="1">
        <v>6.9375669500531353E-2</v>
      </c>
      <c r="AN124" s="4">
        <f t="shared" si="23"/>
        <v>0.31365388947927736</v>
      </c>
      <c r="AO124" s="1">
        <v>2.9410053134962807E-2</v>
      </c>
      <c r="AP124" s="1">
        <v>9.6239755579171096E-2</v>
      </c>
      <c r="AQ124" s="4">
        <f t="shared" si="24"/>
        <v>0.12564980871413389</v>
      </c>
      <c r="AR124" s="1">
        <v>0.43930369819341125</v>
      </c>
      <c r="AS124" s="1">
        <v>0.41724929330499466</v>
      </c>
      <c r="AT124" s="1">
        <v>0.14344700850159409</v>
      </c>
      <c r="AU124" s="1">
        <f t="shared" si="25"/>
        <v>0.22428329968119023</v>
      </c>
      <c r="AV124" s="1">
        <v>8</v>
      </c>
      <c r="AW124">
        <v>289</v>
      </c>
      <c r="AX124">
        <v>303</v>
      </c>
      <c r="AY124" s="6">
        <v>27</v>
      </c>
      <c r="AZ124" s="6">
        <v>5</v>
      </c>
      <c r="BA124" s="11">
        <f t="shared" si="26"/>
        <v>18.0625</v>
      </c>
      <c r="BB124">
        <f t="shared" si="27"/>
        <v>18.9375</v>
      </c>
      <c r="BC124">
        <f t="shared" si="28"/>
        <v>-14</v>
      </c>
      <c r="BD124">
        <f t="shared" si="29"/>
        <v>-0.875</v>
      </c>
      <c r="BE124" s="10">
        <v>7.65589426063696</v>
      </c>
      <c r="BF124" s="6">
        <v>25.838709999999999</v>
      </c>
      <c r="BG124" s="6">
        <v>29.11</v>
      </c>
      <c r="BH124" s="6">
        <v>0.64623299999999995</v>
      </c>
      <c r="BI124" s="6">
        <v>0.66129000000000004</v>
      </c>
      <c r="BJ124" s="6"/>
      <c r="BK124" s="6" t="s">
        <v>67</v>
      </c>
      <c r="BL124" s="6" t="s">
        <v>96</v>
      </c>
      <c r="BM124" s="6" t="s">
        <v>70</v>
      </c>
      <c r="BN124" s="6" t="s">
        <v>70</v>
      </c>
    </row>
    <row r="125" spans="1:66">
      <c r="A125" s="1" t="s">
        <v>235</v>
      </c>
      <c r="B125" s="1">
        <v>2019</v>
      </c>
      <c r="C125" s="1" t="s">
        <v>134</v>
      </c>
      <c r="D125" s="1">
        <v>21532358</v>
      </c>
      <c r="E125" s="1">
        <v>12516472</v>
      </c>
      <c r="F125" s="1">
        <v>15349829</v>
      </c>
      <c r="G125" s="1">
        <v>4258221</v>
      </c>
      <c r="H125" s="2">
        <f t="shared" si="15"/>
        <v>19608050</v>
      </c>
      <c r="I125" s="2">
        <f>H125+E125</f>
        <v>32124522</v>
      </c>
      <c r="J125" s="1">
        <v>37558398</v>
      </c>
      <c r="K125" s="2">
        <f t="shared" si="16"/>
        <v>53656880</v>
      </c>
      <c r="L125" s="1">
        <v>91215278</v>
      </c>
      <c r="M125" s="1">
        <v>7219127</v>
      </c>
      <c r="N125" s="1">
        <v>39706057</v>
      </c>
      <c r="O125" s="4">
        <f t="shared" si="17"/>
        <v>46925184</v>
      </c>
      <c r="P125" s="1">
        <v>15326818</v>
      </c>
      <c r="Q125" s="4">
        <f t="shared" si="18"/>
        <v>62252002</v>
      </c>
      <c r="R125" s="1">
        <v>10736568</v>
      </c>
      <c r="S125" s="1">
        <v>16769419</v>
      </c>
      <c r="T125" s="4">
        <f t="shared" si="19"/>
        <v>27505987</v>
      </c>
      <c r="U125" s="1">
        <v>89757989</v>
      </c>
      <c r="V125" s="1">
        <v>2019</v>
      </c>
      <c r="W125" s="8">
        <v>28507344</v>
      </c>
      <c r="X125" s="1">
        <v>0.81299999999999994</v>
      </c>
      <c r="Y125" s="1">
        <v>1</v>
      </c>
      <c r="Z125" s="1">
        <v>0</v>
      </c>
      <c r="AA125" s="1">
        <v>188200000</v>
      </c>
      <c r="AB125" s="1">
        <v>0.1144121041445271</v>
      </c>
      <c r="AC125" s="1">
        <v>6.6506227417640812E-2</v>
      </c>
      <c r="AD125" s="1">
        <v>8.1561259298618488E-2</v>
      </c>
      <c r="AE125" s="1">
        <v>2.262604144527099E-2</v>
      </c>
      <c r="AF125" s="2">
        <f t="shared" si="20"/>
        <v>0.10418730074388947</v>
      </c>
      <c r="AG125" s="2">
        <f>AF125+AC125</f>
        <v>0.17069352816153027</v>
      </c>
      <c r="AH125" s="1">
        <v>0.19956640807651435</v>
      </c>
      <c r="AI125" s="2">
        <f t="shared" si="21"/>
        <v>0.2851056323060574</v>
      </c>
      <c r="AJ125" s="1">
        <v>3.8358804463336879E-2</v>
      </c>
      <c r="AK125" s="1">
        <v>0.21097798618490968</v>
      </c>
      <c r="AL125" s="4">
        <f t="shared" si="22"/>
        <v>0.24933679064824654</v>
      </c>
      <c r="AM125" s="1">
        <v>8.1438990435706696E-2</v>
      </c>
      <c r="AN125" s="4">
        <f t="shared" si="23"/>
        <v>0.33077578108395322</v>
      </c>
      <c r="AO125" s="1">
        <v>5.7048714133900107E-2</v>
      </c>
      <c r="AP125" s="1">
        <v>8.9104245483528161E-2</v>
      </c>
      <c r="AQ125" s="4">
        <f t="shared" si="24"/>
        <v>0.14615295961742827</v>
      </c>
      <c r="AR125" s="1">
        <v>0.47692874070138153</v>
      </c>
      <c r="AS125" s="1">
        <v>0.48467204038257172</v>
      </c>
      <c r="AT125" s="1">
        <v>3.8399218916046696E-2</v>
      </c>
      <c r="AU125" s="1">
        <f t="shared" si="25"/>
        <v>0.15147366631243359</v>
      </c>
      <c r="AV125" s="1">
        <v>13</v>
      </c>
      <c r="AW125">
        <v>479</v>
      </c>
      <c r="AX125">
        <v>310</v>
      </c>
      <c r="AY125" s="6">
        <v>2</v>
      </c>
      <c r="AZ125" s="6">
        <v>8</v>
      </c>
      <c r="BA125" s="11">
        <f t="shared" si="26"/>
        <v>29.9375</v>
      </c>
      <c r="BB125">
        <f t="shared" si="27"/>
        <v>19.375</v>
      </c>
      <c r="BC125">
        <f t="shared" si="28"/>
        <v>169</v>
      </c>
      <c r="BD125">
        <f t="shared" si="29"/>
        <v>10.5625</v>
      </c>
      <c r="BE125" s="10">
        <v>12.9708121394159</v>
      </c>
      <c r="BF125" s="6">
        <v>26.117650000000001</v>
      </c>
      <c r="BG125" s="6">
        <v>27.83033</v>
      </c>
      <c r="BH125" s="6">
        <v>0.63552699999999995</v>
      </c>
      <c r="BI125" s="6">
        <v>0.61764699999999995</v>
      </c>
      <c r="BJ125" s="6"/>
      <c r="BK125" s="6" t="s">
        <v>80</v>
      </c>
      <c r="BL125" s="6" t="s">
        <v>96</v>
      </c>
      <c r="BM125" s="6" t="s">
        <v>164</v>
      </c>
      <c r="BN125" s="6" t="s">
        <v>93</v>
      </c>
    </row>
    <row r="126" spans="1:66">
      <c r="A126" s="1" t="s">
        <v>236</v>
      </c>
      <c r="B126" s="1">
        <v>2019</v>
      </c>
      <c r="C126" s="1" t="s">
        <v>136</v>
      </c>
      <c r="D126" s="1">
        <v>26996766</v>
      </c>
      <c r="E126" s="1">
        <v>5035413</v>
      </c>
      <c r="F126" s="1">
        <v>12335319</v>
      </c>
      <c r="G126" s="1">
        <v>6730075</v>
      </c>
      <c r="H126" s="2">
        <f t="shared" si="15"/>
        <v>19065394</v>
      </c>
      <c r="I126" s="2">
        <f>H126+E126</f>
        <v>24100807</v>
      </c>
      <c r="J126" s="1">
        <v>33430896</v>
      </c>
      <c r="K126" s="2">
        <f t="shared" si="16"/>
        <v>51097573</v>
      </c>
      <c r="L126" s="1">
        <v>84528469</v>
      </c>
      <c r="M126" s="1">
        <v>5120514</v>
      </c>
      <c r="N126" s="1">
        <v>21581217</v>
      </c>
      <c r="O126" s="4">
        <f t="shared" si="17"/>
        <v>26701731</v>
      </c>
      <c r="P126" s="1">
        <v>27139216</v>
      </c>
      <c r="Q126" s="4">
        <f t="shared" si="18"/>
        <v>53840947</v>
      </c>
      <c r="R126" s="1">
        <v>10653670</v>
      </c>
      <c r="S126" s="1">
        <v>4300635</v>
      </c>
      <c r="T126" s="4">
        <f t="shared" si="19"/>
        <v>14954305</v>
      </c>
      <c r="U126" s="1">
        <v>68795252</v>
      </c>
      <c r="V126" s="1">
        <v>2019</v>
      </c>
      <c r="W126" s="8">
        <v>27463885</v>
      </c>
      <c r="X126" s="1">
        <v>0.68799999999999994</v>
      </c>
      <c r="Y126" s="1">
        <v>1</v>
      </c>
      <c r="Z126" s="1">
        <v>0</v>
      </c>
      <c r="AA126" s="1">
        <v>188200000</v>
      </c>
      <c r="AB126" s="1">
        <v>0.143447215727949</v>
      </c>
      <c r="AC126" s="1">
        <v>2.6755648246546228E-2</v>
      </c>
      <c r="AD126" s="1">
        <v>6.5543671625929861E-2</v>
      </c>
      <c r="AE126" s="1">
        <v>3.5760228480340064E-2</v>
      </c>
      <c r="AF126" s="2">
        <f t="shared" si="20"/>
        <v>0.10130390010626993</v>
      </c>
      <c r="AG126" s="2">
        <f>AF126+AC126</f>
        <v>0.12805954835281616</v>
      </c>
      <c r="AH126" s="1">
        <v>0.17763494155154091</v>
      </c>
      <c r="AI126" s="2">
        <f t="shared" si="21"/>
        <v>0.27150676408076513</v>
      </c>
      <c r="AJ126" s="1">
        <v>2.7207832093517535E-2</v>
      </c>
      <c r="AK126" s="1">
        <v>0.11467171625929862</v>
      </c>
      <c r="AL126" s="4">
        <f t="shared" si="22"/>
        <v>0.14187954835281616</v>
      </c>
      <c r="AM126" s="1">
        <v>0.14420412327311372</v>
      </c>
      <c r="AN126" s="4">
        <f t="shared" si="23"/>
        <v>0.28608367162592985</v>
      </c>
      <c r="AO126" s="1">
        <v>5.6608235919234855E-2</v>
      </c>
      <c r="AP126" s="1">
        <v>2.2851408076514347E-2</v>
      </c>
      <c r="AQ126" s="4">
        <f t="shared" si="24"/>
        <v>7.9459643995749202E-2</v>
      </c>
      <c r="AR126" s="1">
        <v>0.36554331562167908</v>
      </c>
      <c r="AS126" s="1">
        <v>0.44914170563230604</v>
      </c>
      <c r="AT126" s="1">
        <v>0.18531497874601488</v>
      </c>
      <c r="AU126" s="1">
        <f t="shared" si="25"/>
        <v>0.14592925079702443</v>
      </c>
      <c r="AV126" s="1">
        <v>11</v>
      </c>
      <c r="AW126">
        <v>405</v>
      </c>
      <c r="AX126">
        <v>398</v>
      </c>
      <c r="AY126" s="6">
        <v>9</v>
      </c>
      <c r="AZ126" s="6">
        <v>22</v>
      </c>
      <c r="BA126" s="11">
        <f t="shared" si="26"/>
        <v>25.3125</v>
      </c>
      <c r="BB126">
        <f t="shared" si="27"/>
        <v>24.875</v>
      </c>
      <c r="BC126">
        <f t="shared" si="28"/>
        <v>7</v>
      </c>
      <c r="BD126">
        <f t="shared" si="29"/>
        <v>0.4375</v>
      </c>
      <c r="BE126" s="10">
        <v>8.2658028696771595</v>
      </c>
      <c r="BF126" s="6">
        <v>26.071429999999999</v>
      </c>
      <c r="BG126" s="6">
        <v>28.46433</v>
      </c>
      <c r="BH126" s="6">
        <v>0.64255200000000001</v>
      </c>
      <c r="BI126" s="6">
        <v>0.55714300000000005</v>
      </c>
      <c r="BJ126" s="6"/>
      <c r="BK126" s="6" t="s">
        <v>67</v>
      </c>
      <c r="BL126" s="6" t="s">
        <v>96</v>
      </c>
      <c r="BM126" s="6" t="s">
        <v>70</v>
      </c>
      <c r="BN126" s="6" t="s">
        <v>70</v>
      </c>
    </row>
    <row r="127" spans="1:66">
      <c r="A127" s="1" t="s">
        <v>237</v>
      </c>
      <c r="B127" s="1">
        <v>2019</v>
      </c>
      <c r="C127" s="1" t="s">
        <v>138</v>
      </c>
      <c r="D127" s="1">
        <v>23770750</v>
      </c>
      <c r="E127" s="1">
        <v>5056256</v>
      </c>
      <c r="F127" s="1">
        <v>21803199</v>
      </c>
      <c r="G127" s="1">
        <v>11313773</v>
      </c>
      <c r="H127" s="2">
        <f t="shared" si="15"/>
        <v>33116972</v>
      </c>
      <c r="I127" s="2">
        <f>H127+E127</f>
        <v>38173228</v>
      </c>
      <c r="J127" s="1">
        <v>42981228</v>
      </c>
      <c r="K127" s="2">
        <f t="shared" si="16"/>
        <v>61943978</v>
      </c>
      <c r="L127" s="1">
        <v>104925206</v>
      </c>
      <c r="M127" s="1">
        <v>21184145</v>
      </c>
      <c r="N127" s="1">
        <v>18583642</v>
      </c>
      <c r="O127" s="4">
        <f t="shared" si="17"/>
        <v>39767787</v>
      </c>
      <c r="P127" s="1">
        <v>17521770</v>
      </c>
      <c r="Q127" s="4">
        <f t="shared" si="18"/>
        <v>57289557</v>
      </c>
      <c r="R127" s="1">
        <v>5355326</v>
      </c>
      <c r="S127" s="1">
        <v>4962631</v>
      </c>
      <c r="T127" s="4">
        <f t="shared" si="19"/>
        <v>10317957</v>
      </c>
      <c r="U127" s="1">
        <v>67607514</v>
      </c>
      <c r="V127" s="1">
        <v>2019</v>
      </c>
      <c r="W127" s="8">
        <v>23734882</v>
      </c>
      <c r="X127" s="1">
        <v>0.438</v>
      </c>
      <c r="Y127" s="1">
        <v>0</v>
      </c>
      <c r="Z127" s="1">
        <v>0</v>
      </c>
      <c r="AA127" s="1">
        <v>188200000</v>
      </c>
      <c r="AB127" s="1">
        <v>0.1263057917109458</v>
      </c>
      <c r="AC127" s="1">
        <v>2.6866397449521785E-2</v>
      </c>
      <c r="AD127" s="1">
        <v>0.11585121679064825</v>
      </c>
      <c r="AE127" s="1">
        <v>6.011569075451647E-2</v>
      </c>
      <c r="AF127" s="2">
        <f t="shared" si="20"/>
        <v>0.17596690754516472</v>
      </c>
      <c r="AG127" s="2">
        <f>AF127+AC127</f>
        <v>0.20283330499468652</v>
      </c>
      <c r="AH127" s="1">
        <v>0.22838059511158343</v>
      </c>
      <c r="AI127" s="2">
        <f t="shared" si="21"/>
        <v>0.32913909670563229</v>
      </c>
      <c r="AJ127" s="1">
        <v>0.11256187566418703</v>
      </c>
      <c r="AK127" s="1">
        <v>9.8744112646121152E-2</v>
      </c>
      <c r="AL127" s="4">
        <f t="shared" si="22"/>
        <v>0.21130598831030817</v>
      </c>
      <c r="AM127" s="1">
        <v>9.3101859723698194E-2</v>
      </c>
      <c r="AN127" s="4">
        <f t="shared" si="23"/>
        <v>0.30440784803400633</v>
      </c>
      <c r="AO127" s="1">
        <v>2.8455504782146653E-2</v>
      </c>
      <c r="AP127" s="1">
        <v>2.6368921360255048E-2</v>
      </c>
      <c r="AQ127" s="4">
        <f t="shared" si="24"/>
        <v>5.4824426142401697E-2</v>
      </c>
      <c r="AR127" s="1">
        <v>0.35923227417640807</v>
      </c>
      <c r="AS127" s="1">
        <v>0.55751969181721572</v>
      </c>
      <c r="AT127" s="1">
        <v>8.3248034006376148E-2</v>
      </c>
      <c r="AU127" s="1">
        <f t="shared" si="25"/>
        <v>0.12611520722635494</v>
      </c>
      <c r="AV127" s="1">
        <v>7</v>
      </c>
      <c r="AW127">
        <v>458</v>
      </c>
      <c r="AX127">
        <v>449</v>
      </c>
      <c r="AY127" s="6">
        <v>3</v>
      </c>
      <c r="AZ127" s="6">
        <v>29</v>
      </c>
      <c r="BA127" s="11">
        <f t="shared" si="26"/>
        <v>28.625</v>
      </c>
      <c r="BB127">
        <f t="shared" si="27"/>
        <v>28.0625</v>
      </c>
      <c r="BC127">
        <f t="shared" si="28"/>
        <v>9</v>
      </c>
      <c r="BD127">
        <f t="shared" si="29"/>
        <v>0.5625</v>
      </c>
      <c r="BE127" s="10">
        <v>8.3238894038714708</v>
      </c>
      <c r="BF127" s="6">
        <v>25.80303</v>
      </c>
      <c r="BG127" s="6">
        <v>26.71668</v>
      </c>
      <c r="BH127" s="6">
        <v>0.65552699999999997</v>
      </c>
      <c r="BI127" s="6">
        <v>0.484848</v>
      </c>
      <c r="BJ127" s="6"/>
      <c r="BK127" s="6" t="s">
        <v>73</v>
      </c>
      <c r="BL127" s="6" t="s">
        <v>96</v>
      </c>
      <c r="BM127" s="6" t="s">
        <v>93</v>
      </c>
      <c r="BN127" s="6" t="s">
        <v>93</v>
      </c>
    </row>
    <row r="128" spans="1:66">
      <c r="A128" s="1" t="s">
        <v>238</v>
      </c>
      <c r="B128" s="1">
        <v>2019</v>
      </c>
      <c r="C128" s="1" t="s">
        <v>140</v>
      </c>
      <c r="D128" s="1">
        <v>23283000</v>
      </c>
      <c r="E128" s="1">
        <v>7319205</v>
      </c>
      <c r="F128" s="1">
        <v>16140089</v>
      </c>
      <c r="G128" s="1">
        <v>8786988</v>
      </c>
      <c r="H128" s="2">
        <f t="shared" si="15"/>
        <v>24927077</v>
      </c>
      <c r="I128" s="2">
        <f>H128+E128</f>
        <v>32246282</v>
      </c>
      <c r="J128" s="1">
        <v>34514326</v>
      </c>
      <c r="K128" s="2">
        <f t="shared" si="16"/>
        <v>55529282</v>
      </c>
      <c r="L128" s="1">
        <v>90043608</v>
      </c>
      <c r="M128" s="1">
        <v>25607015</v>
      </c>
      <c r="N128" s="1">
        <v>8743596</v>
      </c>
      <c r="O128" s="4">
        <f t="shared" si="17"/>
        <v>34350611</v>
      </c>
      <c r="P128" s="1">
        <v>10915774</v>
      </c>
      <c r="Q128" s="4">
        <f t="shared" si="18"/>
        <v>45266385</v>
      </c>
      <c r="R128" s="1">
        <v>8433793</v>
      </c>
      <c r="S128" s="1">
        <v>30531666</v>
      </c>
      <c r="T128" s="4">
        <f t="shared" si="19"/>
        <v>38965459</v>
      </c>
      <c r="U128" s="1">
        <v>84231844</v>
      </c>
      <c r="V128" s="1">
        <v>2019</v>
      </c>
      <c r="W128" s="8">
        <v>30452561</v>
      </c>
      <c r="X128" s="1">
        <v>0.56299999999999994</v>
      </c>
      <c r="Y128" s="1">
        <v>1</v>
      </c>
      <c r="Z128" s="1">
        <v>0</v>
      </c>
      <c r="AA128" s="1">
        <v>188200000</v>
      </c>
      <c r="AB128" s="1">
        <v>0.12371413390010627</v>
      </c>
      <c r="AC128" s="1">
        <v>3.8890568544102021E-2</v>
      </c>
      <c r="AD128" s="1">
        <v>8.5760302869287985E-2</v>
      </c>
      <c r="AE128" s="1">
        <v>4.6689628055260363E-2</v>
      </c>
      <c r="AF128" s="2">
        <f t="shared" si="20"/>
        <v>0.13244993092454835</v>
      </c>
      <c r="AG128" s="2">
        <f>AF128+AC128</f>
        <v>0.17134049946865038</v>
      </c>
      <c r="AH128" s="1">
        <v>0.18339174282678003</v>
      </c>
      <c r="AI128" s="2">
        <f t="shared" si="21"/>
        <v>0.29505463336875665</v>
      </c>
      <c r="AJ128" s="1">
        <v>0.13606277895855473</v>
      </c>
      <c r="AK128" s="1">
        <v>4.6459064824654624E-2</v>
      </c>
      <c r="AL128" s="4">
        <f t="shared" si="22"/>
        <v>0.18252184378320935</v>
      </c>
      <c r="AM128" s="1">
        <v>5.8000924548352817E-2</v>
      </c>
      <c r="AN128" s="4">
        <f t="shared" si="23"/>
        <v>0.24052276833156216</v>
      </c>
      <c r="AO128" s="1">
        <v>4.4812927736450583E-2</v>
      </c>
      <c r="AP128" s="1">
        <v>0.16222989373007438</v>
      </c>
      <c r="AQ128" s="4">
        <f t="shared" si="24"/>
        <v>0.20704282146652497</v>
      </c>
      <c r="AR128" s="1">
        <v>0.44756558979808714</v>
      </c>
      <c r="AS128" s="1">
        <v>0.47844637619553665</v>
      </c>
      <c r="AT128" s="1">
        <v>7.3988034006376213E-2</v>
      </c>
      <c r="AU128" s="1">
        <f t="shared" si="25"/>
        <v>0.16180956960680126</v>
      </c>
      <c r="AV128" s="1">
        <v>9</v>
      </c>
      <c r="AW128">
        <v>402</v>
      </c>
      <c r="AX128">
        <v>331</v>
      </c>
      <c r="AY128" s="6">
        <v>10</v>
      </c>
      <c r="AZ128" s="6">
        <v>12</v>
      </c>
      <c r="BA128" s="11">
        <f t="shared" si="26"/>
        <v>25.125</v>
      </c>
      <c r="BB128">
        <f t="shared" si="27"/>
        <v>20.6875</v>
      </c>
      <c r="BC128">
        <f t="shared" si="28"/>
        <v>71</v>
      </c>
      <c r="BD128">
        <f t="shared" si="29"/>
        <v>4.4375</v>
      </c>
      <c r="BE128" s="10">
        <v>10.124571963894899</v>
      </c>
      <c r="BF128" s="6">
        <v>26.491800000000001</v>
      </c>
      <c r="BG128" s="6">
        <v>28.121379999999998</v>
      </c>
      <c r="BH128" s="6">
        <v>0.60706099999999996</v>
      </c>
      <c r="BI128" s="6">
        <v>0.62295100000000003</v>
      </c>
      <c r="BJ128" s="6"/>
      <c r="BK128" s="6" t="s">
        <v>80</v>
      </c>
      <c r="BL128" s="6" t="s">
        <v>68</v>
      </c>
      <c r="BM128" s="6" t="s">
        <v>92</v>
      </c>
      <c r="BN128" s="6" t="s">
        <v>70</v>
      </c>
    </row>
    <row r="129" spans="1:80">
      <c r="A129" s="1" t="s">
        <v>239</v>
      </c>
      <c r="B129" s="1">
        <v>2019</v>
      </c>
      <c r="C129" s="1" t="s">
        <v>142</v>
      </c>
      <c r="D129" s="1">
        <v>29974202</v>
      </c>
      <c r="E129" s="1">
        <v>8218621</v>
      </c>
      <c r="F129" s="1">
        <v>9962196</v>
      </c>
      <c r="G129" s="1">
        <v>17664279</v>
      </c>
      <c r="H129" s="2">
        <f t="shared" si="15"/>
        <v>27626475</v>
      </c>
      <c r="I129" s="2">
        <f>H129+E129</f>
        <v>35845096</v>
      </c>
      <c r="J129" s="1">
        <v>32197919</v>
      </c>
      <c r="K129" s="2">
        <f t="shared" si="16"/>
        <v>65819298</v>
      </c>
      <c r="L129" s="1">
        <v>98017217</v>
      </c>
      <c r="M129" s="1">
        <v>11134561</v>
      </c>
      <c r="N129" s="1">
        <v>18408787</v>
      </c>
      <c r="O129" s="4">
        <f t="shared" si="17"/>
        <v>29543348</v>
      </c>
      <c r="P129" s="1">
        <v>3849469</v>
      </c>
      <c r="Q129" s="4">
        <f t="shared" si="18"/>
        <v>33392817</v>
      </c>
      <c r="R129" s="1">
        <v>7558867</v>
      </c>
      <c r="S129" s="1">
        <v>22689383</v>
      </c>
      <c r="T129" s="4">
        <f t="shared" si="19"/>
        <v>30248250</v>
      </c>
      <c r="U129" s="1">
        <v>63641067</v>
      </c>
      <c r="V129" s="1">
        <v>2019</v>
      </c>
      <c r="W129" s="8">
        <v>88601102</v>
      </c>
      <c r="X129" s="1">
        <v>0.188</v>
      </c>
      <c r="Y129" s="1">
        <v>0</v>
      </c>
      <c r="Z129" s="1">
        <v>0</v>
      </c>
      <c r="AA129" s="1">
        <v>188200000</v>
      </c>
      <c r="AB129" s="1">
        <v>0.15926781083953243</v>
      </c>
      <c r="AC129" s="1">
        <v>4.3669612114771522E-2</v>
      </c>
      <c r="AD129" s="1">
        <v>5.2934091392136028E-2</v>
      </c>
      <c r="AE129" s="1">
        <v>9.385908076514346E-2</v>
      </c>
      <c r="AF129" s="2">
        <f t="shared" si="20"/>
        <v>0.14679317215727949</v>
      </c>
      <c r="AG129" s="2">
        <f>AF129+AC129</f>
        <v>0.19046278427205102</v>
      </c>
      <c r="AH129" s="1">
        <v>0.17108352284803402</v>
      </c>
      <c r="AI129" s="2">
        <f t="shared" si="21"/>
        <v>0.34973059511158344</v>
      </c>
      <c r="AJ129" s="1">
        <v>5.9163448459086082E-2</v>
      </c>
      <c r="AK129" s="1">
        <v>9.7815021253985127E-2</v>
      </c>
      <c r="AL129" s="4">
        <f t="shared" si="22"/>
        <v>0.15697846971307122</v>
      </c>
      <c r="AM129" s="1">
        <v>2.0454139213602552E-2</v>
      </c>
      <c r="AN129" s="4">
        <f t="shared" si="23"/>
        <v>0.17743260892667378</v>
      </c>
      <c r="AO129" s="1">
        <v>4.0164011689691817E-2</v>
      </c>
      <c r="AP129" s="1">
        <v>0.12055995217853348</v>
      </c>
      <c r="AQ129" s="4">
        <f t="shared" si="24"/>
        <v>0.16072396386822529</v>
      </c>
      <c r="AR129" s="1">
        <v>0.33815657279489902</v>
      </c>
      <c r="AS129" s="1">
        <v>0.52081411795961741</v>
      </c>
      <c r="AT129" s="1">
        <v>0.14102930924548351</v>
      </c>
      <c r="AU129" s="1">
        <f t="shared" si="25"/>
        <v>0.47078162592986184</v>
      </c>
      <c r="AV129" s="1">
        <v>3</v>
      </c>
      <c r="AW129">
        <v>266</v>
      </c>
      <c r="AX129">
        <v>435</v>
      </c>
      <c r="AY129" s="6">
        <v>32</v>
      </c>
      <c r="AZ129" s="6">
        <v>27</v>
      </c>
      <c r="BA129" s="11">
        <f t="shared" si="26"/>
        <v>16.625</v>
      </c>
      <c r="BB129">
        <f t="shared" si="27"/>
        <v>27.1875</v>
      </c>
      <c r="BC129">
        <f t="shared" si="28"/>
        <v>-169</v>
      </c>
      <c r="BD129">
        <f t="shared" si="29"/>
        <v>-10.5625</v>
      </c>
      <c r="BE129" s="10">
        <v>3.1541878605783298</v>
      </c>
      <c r="BF129" s="6">
        <v>26.144739999999999</v>
      </c>
      <c r="BG129" s="6">
        <v>28.29044</v>
      </c>
      <c r="BH129" s="6">
        <v>0.65282700000000005</v>
      </c>
      <c r="BI129" s="6">
        <v>0.5</v>
      </c>
      <c r="BJ129" s="6"/>
      <c r="BK129" s="6" t="s">
        <v>80</v>
      </c>
      <c r="BL129" s="6" t="s">
        <v>96</v>
      </c>
      <c r="BM129" s="6" t="s">
        <v>164</v>
      </c>
      <c r="BN129" s="6" t="s">
        <v>70</v>
      </c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</row>
    <row r="130" spans="1:80">
      <c r="A130" s="1" t="s">
        <v>240</v>
      </c>
      <c r="B130" s="1">
        <v>2018</v>
      </c>
      <c r="C130" s="1" t="s">
        <v>66</v>
      </c>
      <c r="D130" s="1">
        <v>5229993</v>
      </c>
      <c r="E130" s="1">
        <v>6642019</v>
      </c>
      <c r="F130" s="1">
        <v>21383544</v>
      </c>
      <c r="G130" s="1">
        <v>8338914</v>
      </c>
      <c r="H130" s="2">
        <f t="shared" si="15"/>
        <v>29722458</v>
      </c>
      <c r="I130" s="2">
        <f>H130+E130</f>
        <v>36364477</v>
      </c>
      <c r="J130" s="1">
        <v>16580007</v>
      </c>
      <c r="K130" s="2">
        <f t="shared" si="16"/>
        <v>41594470</v>
      </c>
      <c r="L130" s="1">
        <v>58174477</v>
      </c>
      <c r="M130" s="1">
        <v>6574896</v>
      </c>
      <c r="N130" s="1">
        <v>22609536</v>
      </c>
      <c r="O130" s="4">
        <f t="shared" si="17"/>
        <v>29184432</v>
      </c>
      <c r="P130" s="1">
        <v>12827408</v>
      </c>
      <c r="Q130" s="4">
        <f t="shared" si="18"/>
        <v>42011840</v>
      </c>
      <c r="R130" s="1">
        <v>8859951</v>
      </c>
      <c r="S130" s="1">
        <v>16131635</v>
      </c>
      <c r="T130" s="4">
        <f t="shared" si="19"/>
        <v>24991586</v>
      </c>
      <c r="U130" s="1">
        <v>67003426</v>
      </c>
      <c r="V130" s="1">
        <v>2018</v>
      </c>
      <c r="W130" s="8">
        <v>24767273</v>
      </c>
      <c r="X130" s="1">
        <v>0.188</v>
      </c>
      <c r="Y130" s="1">
        <v>0</v>
      </c>
      <c r="Z130" s="1">
        <v>0</v>
      </c>
      <c r="AA130" s="1">
        <v>177200000</v>
      </c>
      <c r="AB130" s="1">
        <v>2.9514633182844245E-2</v>
      </c>
      <c r="AC130" s="1">
        <v>3.7483177200902933E-2</v>
      </c>
      <c r="AD130" s="1">
        <v>0.12067462753950339</v>
      </c>
      <c r="AE130" s="1">
        <v>4.7059334085778781E-2</v>
      </c>
      <c r="AF130" s="2">
        <f t="shared" si="20"/>
        <v>0.16773396162528217</v>
      </c>
      <c r="AG130" s="2">
        <f>AF130+AC130</f>
        <v>0.20521713882618511</v>
      </c>
      <c r="AH130" s="1">
        <v>9.3566630925507904E-2</v>
      </c>
      <c r="AI130" s="2">
        <f t="shared" si="21"/>
        <v>0.23473177200902934</v>
      </c>
      <c r="AJ130" s="1">
        <v>3.7104379232505647E-2</v>
      </c>
      <c r="AK130" s="1">
        <v>0.12759331828442438</v>
      </c>
      <c r="AL130" s="4">
        <f t="shared" si="22"/>
        <v>0.16469769751693003</v>
      </c>
      <c r="AM130" s="1">
        <v>7.2389435665914215E-2</v>
      </c>
      <c r="AN130" s="4">
        <f t="shared" si="23"/>
        <v>0.23708713318284425</v>
      </c>
      <c r="AO130" s="1">
        <v>4.9999723476297969E-2</v>
      </c>
      <c r="AP130" s="1">
        <v>9.1036314898419859E-2</v>
      </c>
      <c r="AQ130" s="4">
        <f t="shared" si="24"/>
        <v>0.14103603837471784</v>
      </c>
      <c r="AR130" s="1">
        <v>0.37812317155756209</v>
      </c>
      <c r="AS130" s="1">
        <v>0.32829840293453727</v>
      </c>
      <c r="AT130" s="1">
        <v>0.29357842550790059</v>
      </c>
      <c r="AU130" s="1">
        <f t="shared" si="25"/>
        <v>0.13977016365688488</v>
      </c>
      <c r="AV130" s="1">
        <v>3</v>
      </c>
      <c r="AW130">
        <v>225</v>
      </c>
      <c r="AX130">
        <v>425</v>
      </c>
      <c r="AY130" s="6">
        <v>32</v>
      </c>
      <c r="AZ130" s="6">
        <v>26</v>
      </c>
      <c r="BA130" s="11">
        <f t="shared" si="26"/>
        <v>14.0625</v>
      </c>
      <c r="BB130">
        <f t="shared" si="27"/>
        <v>26.5625</v>
      </c>
      <c r="BC130">
        <f t="shared" si="28"/>
        <v>-200</v>
      </c>
      <c r="BD130">
        <f t="shared" si="29"/>
        <v>-12.5</v>
      </c>
      <c r="BE130" s="10">
        <v>2.2538465805666101</v>
      </c>
      <c r="BF130" s="6">
        <v>26.25714</v>
      </c>
      <c r="BG130" s="6">
        <v>28.79748</v>
      </c>
      <c r="BH130" s="6">
        <v>0.67616200000000004</v>
      </c>
      <c r="BI130" s="6">
        <v>0.442857</v>
      </c>
      <c r="BJ130" s="6"/>
      <c r="BK130" s="6" t="s">
        <v>67</v>
      </c>
      <c r="BL130" s="6" t="s">
        <v>96</v>
      </c>
      <c r="BM130" s="6" t="s">
        <v>70</v>
      </c>
      <c r="BN130" s="6" t="s">
        <v>70</v>
      </c>
    </row>
    <row r="131" spans="1:80">
      <c r="A131" s="1" t="s">
        <v>241</v>
      </c>
      <c r="B131" s="1">
        <v>2018</v>
      </c>
      <c r="C131" s="1" t="s">
        <v>72</v>
      </c>
      <c r="D131" s="1">
        <v>22329200</v>
      </c>
      <c r="E131" s="1">
        <v>7325063</v>
      </c>
      <c r="F131" s="1">
        <v>24432270</v>
      </c>
      <c r="G131" s="1">
        <v>2433131</v>
      </c>
      <c r="H131" s="2">
        <f t="shared" ref="H131:H194" si="30">SUM(F131:G131)</f>
        <v>26865401</v>
      </c>
      <c r="I131" s="2">
        <f>H131+E131</f>
        <v>34190464</v>
      </c>
      <c r="J131" s="1">
        <v>40262172</v>
      </c>
      <c r="K131" s="2">
        <f t="shared" ref="K131:K194" si="31">SUM(D131:G131)</f>
        <v>56519664</v>
      </c>
      <c r="L131" s="1">
        <v>96781836</v>
      </c>
      <c r="M131" s="1">
        <v>6021602</v>
      </c>
      <c r="N131" s="1">
        <v>11943939</v>
      </c>
      <c r="O131" s="4">
        <f t="shared" ref="O131:O194" si="32">SUM(M131:N131)</f>
        <v>17965541</v>
      </c>
      <c r="P131" s="1">
        <v>8581239</v>
      </c>
      <c r="Q131" s="4">
        <f t="shared" ref="Q131:Q194" si="33">SUM(O131:P131)</f>
        <v>26546780</v>
      </c>
      <c r="R131" s="1">
        <v>9445802</v>
      </c>
      <c r="S131" s="1">
        <v>26512595</v>
      </c>
      <c r="T131" s="4">
        <f t="shared" ref="T131:T194" si="34">SUM(R131:S131)</f>
        <v>35958397</v>
      </c>
      <c r="U131" s="1">
        <v>62505177</v>
      </c>
      <c r="V131" s="1">
        <v>2018</v>
      </c>
      <c r="W131" s="8">
        <v>23143896</v>
      </c>
      <c r="X131" s="1">
        <v>0.438</v>
      </c>
      <c r="Y131" s="1">
        <v>0</v>
      </c>
      <c r="Z131" s="1">
        <v>0</v>
      </c>
      <c r="AA131" s="1">
        <v>177200000</v>
      </c>
      <c r="AB131" s="1">
        <v>0.12601128668171557</v>
      </c>
      <c r="AC131" s="1">
        <v>4.1337827313769754E-2</v>
      </c>
      <c r="AD131" s="1">
        <v>0.13787962753950339</v>
      </c>
      <c r="AE131" s="1">
        <v>1.3730987584650113E-2</v>
      </c>
      <c r="AF131" s="2">
        <f t="shared" ref="AF131:AF194" si="35">SUM(AD131:AE131)</f>
        <v>0.1516106151241535</v>
      </c>
      <c r="AG131" s="2">
        <f>AF131+AC131</f>
        <v>0.19294844243792325</v>
      </c>
      <c r="AH131" s="1">
        <v>0.22721316027088037</v>
      </c>
      <c r="AI131" s="2">
        <f t="shared" ref="AI131:AI194" si="36">SUM(AB131:AE131)</f>
        <v>0.31895972911963882</v>
      </c>
      <c r="AJ131" s="1">
        <v>3.3981952595936796E-2</v>
      </c>
      <c r="AK131" s="1">
        <v>6.7403718961625281E-2</v>
      </c>
      <c r="AL131" s="4">
        <f t="shared" ref="AL131:AL194" si="37">SUM(AJ131:AK131)</f>
        <v>0.10138567155756208</v>
      </c>
      <c r="AM131" s="1">
        <v>4.842685665914221E-2</v>
      </c>
      <c r="AN131" s="4">
        <f t="shared" ref="AN131:AN194" si="38">SUM(AL131:AM131)</f>
        <v>0.14981252821670429</v>
      </c>
      <c r="AO131" s="1">
        <v>5.3305880361173813E-2</v>
      </c>
      <c r="AP131" s="1">
        <v>0.14961961060948081</v>
      </c>
      <c r="AQ131" s="4">
        <f t="shared" ref="AQ131:AQ194" si="39">SUM(AO131:AP131)</f>
        <v>0.20292549097065463</v>
      </c>
      <c r="AR131" s="1">
        <v>0.35273801918735892</v>
      </c>
      <c r="AS131" s="1">
        <v>0.54617288939051922</v>
      </c>
      <c r="AT131" s="1">
        <v>0.10108909142212186</v>
      </c>
      <c r="AU131" s="1">
        <f t="shared" ref="AU131:AU194" si="40">W131/AA131</f>
        <v>0.13060889390519187</v>
      </c>
      <c r="AV131" s="1">
        <v>7</v>
      </c>
      <c r="AW131">
        <v>414</v>
      </c>
      <c r="AX131">
        <v>423</v>
      </c>
      <c r="AY131" s="6">
        <v>10</v>
      </c>
      <c r="AZ131" s="6">
        <v>25</v>
      </c>
      <c r="BA131" s="11">
        <f t="shared" ref="BA131:BA194" si="41">AW131/16</f>
        <v>25.875</v>
      </c>
      <c r="BB131">
        <f t="shared" ref="BB131:BB194" si="42">AX131/16</f>
        <v>26.4375</v>
      </c>
      <c r="BC131">
        <f t="shared" ref="BC131:BC194" si="43">AW131 - AX131</f>
        <v>-9</v>
      </c>
      <c r="BD131">
        <f t="shared" ref="BD131:BD194" si="44">BC131/16</f>
        <v>-0.5625</v>
      </c>
      <c r="BE131" s="10">
        <v>7.8011105961227196</v>
      </c>
      <c r="BF131" s="6">
        <v>27.47541</v>
      </c>
      <c r="BG131" s="6">
        <v>29.263100000000001</v>
      </c>
      <c r="BH131" s="6">
        <v>0.59766900000000001</v>
      </c>
      <c r="BI131" s="6">
        <v>0.62295100000000003</v>
      </c>
      <c r="BJ131" s="6"/>
      <c r="BK131" s="6" t="s">
        <v>67</v>
      </c>
      <c r="BL131" s="6" t="s">
        <v>68</v>
      </c>
      <c r="BM131" s="6" t="s">
        <v>69</v>
      </c>
      <c r="BN131" s="6" t="s">
        <v>70</v>
      </c>
    </row>
    <row r="132" spans="1:80">
      <c r="A132" s="1" t="s">
        <v>242</v>
      </c>
      <c r="B132" s="1">
        <v>2018</v>
      </c>
      <c r="C132" s="1" t="s">
        <v>77</v>
      </c>
      <c r="D132" s="1">
        <v>27572118</v>
      </c>
      <c r="E132" s="1">
        <v>3363334</v>
      </c>
      <c r="F132" s="1">
        <v>12886087</v>
      </c>
      <c r="G132" s="1">
        <v>4763673</v>
      </c>
      <c r="H132" s="2">
        <f t="shared" si="30"/>
        <v>17649760</v>
      </c>
      <c r="I132" s="2">
        <f>H132+E132</f>
        <v>21013094</v>
      </c>
      <c r="J132" s="1">
        <v>21740115</v>
      </c>
      <c r="K132" s="2">
        <f t="shared" si="31"/>
        <v>48585212</v>
      </c>
      <c r="L132" s="1">
        <v>70325327</v>
      </c>
      <c r="M132" s="1">
        <v>9730013</v>
      </c>
      <c r="N132" s="1">
        <v>11748483</v>
      </c>
      <c r="O132" s="4">
        <f t="shared" si="32"/>
        <v>21478496</v>
      </c>
      <c r="P132" s="1">
        <v>10994045</v>
      </c>
      <c r="Q132" s="4">
        <f t="shared" si="33"/>
        <v>32472541</v>
      </c>
      <c r="R132" s="1">
        <v>16441962</v>
      </c>
      <c r="S132" s="1">
        <v>26734432</v>
      </c>
      <c r="T132" s="4">
        <f t="shared" si="34"/>
        <v>43176394</v>
      </c>
      <c r="U132" s="1">
        <v>75648935</v>
      </c>
      <c r="V132" s="1">
        <v>2018</v>
      </c>
      <c r="W132" s="8">
        <v>5760627</v>
      </c>
      <c r="X132" s="1">
        <v>0.625</v>
      </c>
      <c r="Y132" s="1">
        <v>1</v>
      </c>
      <c r="Z132" s="1">
        <v>0</v>
      </c>
      <c r="AA132" s="1">
        <v>177200000</v>
      </c>
      <c r="AB132" s="1">
        <v>0.15559886004514673</v>
      </c>
      <c r="AC132" s="1">
        <v>1.8980440180586908E-2</v>
      </c>
      <c r="AD132" s="1">
        <v>7.2720581264108353E-2</v>
      </c>
      <c r="AE132" s="1">
        <v>2.6883030474040632E-2</v>
      </c>
      <c r="AF132" s="2">
        <f t="shared" si="35"/>
        <v>9.9603611738148981E-2</v>
      </c>
      <c r="AG132" s="2">
        <f>AF132+AC132</f>
        <v>0.11858405191873589</v>
      </c>
      <c r="AH132" s="1">
        <v>0.12268687923250564</v>
      </c>
      <c r="AI132" s="2">
        <f t="shared" si="36"/>
        <v>0.27418291196388261</v>
      </c>
      <c r="AJ132" s="1">
        <v>5.4909779909706545E-2</v>
      </c>
      <c r="AK132" s="1">
        <v>6.6300694130925514E-2</v>
      </c>
      <c r="AL132" s="4">
        <f t="shared" si="37"/>
        <v>0.12121047404063207</v>
      </c>
      <c r="AM132" s="1">
        <v>6.2043143340857788E-2</v>
      </c>
      <c r="AN132" s="4">
        <f t="shared" si="38"/>
        <v>0.18325361738148985</v>
      </c>
      <c r="AO132" s="1">
        <v>9.2787595936794587E-2</v>
      </c>
      <c r="AP132" s="1">
        <v>0.15087151241534988</v>
      </c>
      <c r="AQ132" s="4">
        <f t="shared" si="39"/>
        <v>0.24365910835214447</v>
      </c>
      <c r="AR132" s="1">
        <v>0.42691272573363431</v>
      </c>
      <c r="AS132" s="1">
        <v>0.39686979119638827</v>
      </c>
      <c r="AT132" s="1">
        <v>0.17621748306997742</v>
      </c>
      <c r="AU132" s="1">
        <f t="shared" si="40"/>
        <v>3.2509181715575618E-2</v>
      </c>
      <c r="AV132" s="1">
        <v>10</v>
      </c>
      <c r="AW132">
        <v>389</v>
      </c>
      <c r="AX132">
        <v>287</v>
      </c>
      <c r="AY132" s="6">
        <v>13</v>
      </c>
      <c r="AZ132" s="6">
        <v>2</v>
      </c>
      <c r="BA132" s="11">
        <f t="shared" si="41"/>
        <v>24.3125</v>
      </c>
      <c r="BB132">
        <f t="shared" si="42"/>
        <v>17.9375</v>
      </c>
      <c r="BC132">
        <f t="shared" si="43"/>
        <v>102</v>
      </c>
      <c r="BD132">
        <f t="shared" si="44"/>
        <v>6.375</v>
      </c>
      <c r="BE132" s="10">
        <v>11.0249132439066</v>
      </c>
      <c r="BF132" s="6">
        <v>26</v>
      </c>
      <c r="BG132" s="6">
        <v>29.357769999999999</v>
      </c>
      <c r="BH132" s="6">
        <v>0.61812199999999995</v>
      </c>
      <c r="BI132" s="6">
        <v>0.62295100000000003</v>
      </c>
      <c r="BJ132" s="6"/>
      <c r="BK132" s="6" t="s">
        <v>67</v>
      </c>
      <c r="BL132" s="6" t="s">
        <v>68</v>
      </c>
      <c r="BM132" s="6" t="s">
        <v>69</v>
      </c>
      <c r="BN132" s="6" t="s">
        <v>70</v>
      </c>
    </row>
    <row r="133" spans="1:80">
      <c r="A133" s="1" t="s">
        <v>243</v>
      </c>
      <c r="B133" s="1">
        <v>2018</v>
      </c>
      <c r="C133" s="1" t="s">
        <v>79</v>
      </c>
      <c r="D133" s="1">
        <v>4972932</v>
      </c>
      <c r="E133" s="1">
        <v>12700103</v>
      </c>
      <c r="F133" s="1">
        <v>3135006</v>
      </c>
      <c r="G133" s="1">
        <v>10226000</v>
      </c>
      <c r="H133" s="2">
        <f t="shared" si="30"/>
        <v>13361006</v>
      </c>
      <c r="I133" s="2">
        <f>H133+E133</f>
        <v>26061109</v>
      </c>
      <c r="J133" s="1">
        <v>13535618</v>
      </c>
      <c r="K133" s="2">
        <f t="shared" si="31"/>
        <v>31034041</v>
      </c>
      <c r="L133" s="1">
        <v>44569659</v>
      </c>
      <c r="M133" s="1">
        <v>13874163</v>
      </c>
      <c r="N133" s="1">
        <v>18752548</v>
      </c>
      <c r="O133" s="4">
        <f t="shared" si="32"/>
        <v>32626711</v>
      </c>
      <c r="P133" s="1">
        <v>8735891</v>
      </c>
      <c r="Q133" s="4">
        <f t="shared" si="33"/>
        <v>41362602</v>
      </c>
      <c r="R133" s="1">
        <v>12472941</v>
      </c>
      <c r="S133" s="1">
        <v>7366816</v>
      </c>
      <c r="T133" s="4">
        <f t="shared" si="34"/>
        <v>19839757</v>
      </c>
      <c r="U133" s="1">
        <v>61202359</v>
      </c>
      <c r="V133" s="1">
        <v>2018</v>
      </c>
      <c r="W133" s="8">
        <v>5244944</v>
      </c>
      <c r="X133" s="1">
        <v>0.375</v>
      </c>
      <c r="Y133" s="1">
        <v>0</v>
      </c>
      <c r="Z133" s="1">
        <v>0</v>
      </c>
      <c r="AA133" s="1">
        <v>177200000</v>
      </c>
      <c r="AB133" s="1">
        <v>2.806395033860045E-2</v>
      </c>
      <c r="AC133" s="1">
        <v>7.167101015801354E-2</v>
      </c>
      <c r="AD133" s="1">
        <v>1.7691907449209933E-2</v>
      </c>
      <c r="AE133" s="1">
        <v>5.7708803611738149E-2</v>
      </c>
      <c r="AF133" s="2">
        <f t="shared" si="35"/>
        <v>7.5400711060948089E-2</v>
      </c>
      <c r="AG133" s="2">
        <f>AF133+AC133</f>
        <v>0.14707172121896162</v>
      </c>
      <c r="AH133" s="1">
        <v>7.6386106094808129E-2</v>
      </c>
      <c r="AI133" s="2">
        <f t="shared" si="36"/>
        <v>0.17513567155756204</v>
      </c>
      <c r="AJ133" s="1">
        <v>7.8296630925507898E-2</v>
      </c>
      <c r="AK133" s="1">
        <v>0.10582702031602709</v>
      </c>
      <c r="AL133" s="4">
        <f t="shared" si="37"/>
        <v>0.18412365124153499</v>
      </c>
      <c r="AM133" s="1">
        <v>4.9299610609480814E-2</v>
      </c>
      <c r="AN133" s="4">
        <f t="shared" si="38"/>
        <v>0.23342326185101581</v>
      </c>
      <c r="AO133" s="1">
        <v>7.0389057562076751E-2</v>
      </c>
      <c r="AP133" s="1">
        <v>4.157345372460497E-2</v>
      </c>
      <c r="AQ133" s="4">
        <f t="shared" si="39"/>
        <v>0.11196251128668172</v>
      </c>
      <c r="AR133" s="1">
        <v>0.34538577313769753</v>
      </c>
      <c r="AS133" s="1">
        <v>0.25152177765237022</v>
      </c>
      <c r="AT133" s="1">
        <v>0.40309244920993226</v>
      </c>
      <c r="AU133" s="1">
        <f t="shared" si="40"/>
        <v>2.959900677200903E-2</v>
      </c>
      <c r="AV133" s="1">
        <v>6</v>
      </c>
      <c r="AW133">
        <v>269</v>
      </c>
      <c r="AX133">
        <v>374</v>
      </c>
      <c r="AY133" s="6">
        <v>30</v>
      </c>
      <c r="AZ133" s="6">
        <v>18</v>
      </c>
      <c r="BA133" s="11">
        <f t="shared" si="41"/>
        <v>16.8125</v>
      </c>
      <c r="BB133">
        <f t="shared" si="42"/>
        <v>23.375</v>
      </c>
      <c r="BC133">
        <f t="shared" si="43"/>
        <v>-105</v>
      </c>
      <c r="BD133">
        <f t="shared" si="44"/>
        <v>-6.5625</v>
      </c>
      <c r="BE133" s="10">
        <v>5.0129569547960902</v>
      </c>
      <c r="BF133" s="6">
        <v>26.233329999999999</v>
      </c>
      <c r="BG133" s="6">
        <v>28.18927</v>
      </c>
      <c r="BH133" s="6">
        <v>0.59752799999999995</v>
      </c>
      <c r="BI133" s="6">
        <v>0.45</v>
      </c>
      <c r="BJ133" s="6"/>
      <c r="BK133" s="6" t="s">
        <v>80</v>
      </c>
      <c r="BL133" s="6" t="s">
        <v>68</v>
      </c>
      <c r="BM133" s="6" t="s">
        <v>92</v>
      </c>
      <c r="BN133" s="6" t="s">
        <v>70</v>
      </c>
    </row>
    <row r="134" spans="1:80">
      <c r="A134" s="1" t="s">
        <v>244</v>
      </c>
      <c r="B134" s="1">
        <v>2018</v>
      </c>
      <c r="C134" s="1" t="s">
        <v>83</v>
      </c>
      <c r="D134" s="1">
        <v>22245471</v>
      </c>
      <c r="E134" s="1">
        <v>6826065</v>
      </c>
      <c r="F134" s="1">
        <v>12594544</v>
      </c>
      <c r="G134" s="1">
        <v>9312292</v>
      </c>
      <c r="H134" s="2">
        <f t="shared" si="30"/>
        <v>21906836</v>
      </c>
      <c r="I134" s="2">
        <f>H134+E134</f>
        <v>28732901</v>
      </c>
      <c r="J134" s="1">
        <v>32444025</v>
      </c>
      <c r="K134" s="2">
        <f t="shared" si="31"/>
        <v>50978372</v>
      </c>
      <c r="L134" s="1">
        <v>83422397</v>
      </c>
      <c r="M134" s="1">
        <v>25938492</v>
      </c>
      <c r="N134" s="1">
        <v>15594755</v>
      </c>
      <c r="O134" s="4">
        <f t="shared" si="32"/>
        <v>41533247</v>
      </c>
      <c r="P134" s="1">
        <v>18109544</v>
      </c>
      <c r="Q134" s="4">
        <f t="shared" si="33"/>
        <v>59642791</v>
      </c>
      <c r="R134" s="1">
        <v>8525314</v>
      </c>
      <c r="S134" s="1">
        <v>10046763</v>
      </c>
      <c r="T134" s="4">
        <f t="shared" si="34"/>
        <v>18572077</v>
      </c>
      <c r="U134" s="1">
        <v>78214868</v>
      </c>
      <c r="V134" s="1">
        <v>2018</v>
      </c>
      <c r="W134" s="8">
        <v>30305178</v>
      </c>
      <c r="X134" s="1">
        <v>0.438</v>
      </c>
      <c r="Y134" s="1">
        <v>0</v>
      </c>
      <c r="Z134" s="1">
        <v>0</v>
      </c>
      <c r="AA134" s="1">
        <v>177200000</v>
      </c>
      <c r="AB134" s="1">
        <v>0.12553877539503386</v>
      </c>
      <c r="AC134" s="1">
        <v>3.8521811512415349E-2</v>
      </c>
      <c r="AD134" s="1">
        <v>7.1075304740406325E-2</v>
      </c>
      <c r="AE134" s="1">
        <v>5.2552437923250567E-2</v>
      </c>
      <c r="AF134" s="2">
        <f t="shared" si="35"/>
        <v>0.12362774266365689</v>
      </c>
      <c r="AG134" s="2">
        <f>AF134+AC134</f>
        <v>0.16214955417607224</v>
      </c>
      <c r="AH134" s="1">
        <v>0.18309269187358918</v>
      </c>
      <c r="AI134" s="2">
        <f t="shared" si="36"/>
        <v>0.28768832957110613</v>
      </c>
      <c r="AJ134" s="1">
        <v>0.14637975169300227</v>
      </c>
      <c r="AK134" s="1">
        <v>8.8006518058690739E-2</v>
      </c>
      <c r="AL134" s="4">
        <f t="shared" si="37"/>
        <v>0.23438626975169302</v>
      </c>
      <c r="AM134" s="1">
        <v>0.1021983295711061</v>
      </c>
      <c r="AN134" s="4">
        <f t="shared" si="38"/>
        <v>0.33658459932279911</v>
      </c>
      <c r="AO134" s="1">
        <v>4.8111252821670426E-2</v>
      </c>
      <c r="AP134" s="1">
        <v>5.6697308126410835E-2</v>
      </c>
      <c r="AQ134" s="4">
        <f t="shared" si="39"/>
        <v>0.10480856094808126</v>
      </c>
      <c r="AR134" s="1">
        <v>0.44139316027088038</v>
      </c>
      <c r="AS134" s="1">
        <v>0.47078102144469525</v>
      </c>
      <c r="AT134" s="1">
        <v>8.7825818284424373E-2</v>
      </c>
      <c r="AU134" s="1">
        <f t="shared" si="40"/>
        <v>0.17102244920993229</v>
      </c>
      <c r="AV134" s="1">
        <v>7</v>
      </c>
      <c r="AW134">
        <v>376</v>
      </c>
      <c r="AX134">
        <v>382</v>
      </c>
      <c r="AY134" s="6">
        <v>14</v>
      </c>
      <c r="AZ134" s="6">
        <v>19</v>
      </c>
      <c r="BA134" s="11">
        <f t="shared" si="41"/>
        <v>23.5</v>
      </c>
      <c r="BB134">
        <f t="shared" si="42"/>
        <v>23.875</v>
      </c>
      <c r="BC134">
        <f t="shared" si="43"/>
        <v>-6</v>
      </c>
      <c r="BD134">
        <f t="shared" si="44"/>
        <v>-0.375</v>
      </c>
      <c r="BE134" s="10">
        <v>7.8882403974141804</v>
      </c>
      <c r="BF134" s="6">
        <v>26.901409999999998</v>
      </c>
      <c r="BG134" s="6">
        <v>28.893930000000001</v>
      </c>
      <c r="BH134" s="6">
        <v>0.63574900000000001</v>
      </c>
      <c r="BI134" s="6">
        <v>0.57746500000000001</v>
      </c>
      <c r="BJ134" s="6"/>
      <c r="BK134" s="6" t="s">
        <v>67</v>
      </c>
      <c r="BL134" s="6" t="s">
        <v>96</v>
      </c>
      <c r="BM134" s="6" t="s">
        <v>70</v>
      </c>
      <c r="BN134" s="6" t="s">
        <v>70</v>
      </c>
    </row>
    <row r="135" spans="1:80">
      <c r="A135" s="1" t="s">
        <v>245</v>
      </c>
      <c r="B135" s="1">
        <v>2018</v>
      </c>
      <c r="C135" s="1" t="s">
        <v>85</v>
      </c>
      <c r="D135" s="1">
        <v>10598281</v>
      </c>
      <c r="E135" s="1">
        <v>2865819</v>
      </c>
      <c r="F135" s="1">
        <v>26134139</v>
      </c>
      <c r="G135" s="1">
        <v>16862132</v>
      </c>
      <c r="H135" s="2">
        <f t="shared" si="30"/>
        <v>42996271</v>
      </c>
      <c r="I135" s="2">
        <f>H135+E135</f>
        <v>45862090</v>
      </c>
      <c r="J135" s="1">
        <v>25838059</v>
      </c>
      <c r="K135" s="2">
        <f t="shared" si="31"/>
        <v>56460371</v>
      </c>
      <c r="L135" s="1">
        <v>82298430</v>
      </c>
      <c r="M135" s="1">
        <v>16269909</v>
      </c>
      <c r="N135" s="1">
        <v>26108093</v>
      </c>
      <c r="O135" s="4">
        <f t="shared" si="32"/>
        <v>42378002</v>
      </c>
      <c r="P135" s="1">
        <v>12062109</v>
      </c>
      <c r="Q135" s="4">
        <f t="shared" si="33"/>
        <v>54440111</v>
      </c>
      <c r="R135" s="1">
        <v>4184476</v>
      </c>
      <c r="S135" s="1">
        <v>18514959</v>
      </c>
      <c r="T135" s="4">
        <f t="shared" si="34"/>
        <v>22699435</v>
      </c>
      <c r="U135" s="1">
        <v>77139546</v>
      </c>
      <c r="V135" s="1">
        <v>2018</v>
      </c>
      <c r="W135" s="8">
        <v>12109999</v>
      </c>
      <c r="X135" s="1">
        <v>0.75</v>
      </c>
      <c r="Y135" s="1">
        <v>1</v>
      </c>
      <c r="Z135" s="1">
        <v>0</v>
      </c>
      <c r="AA135" s="1">
        <v>177200000</v>
      </c>
      <c r="AB135" s="1">
        <v>5.9809712189616254E-2</v>
      </c>
      <c r="AC135" s="1">
        <v>1.6172793453724604E-2</v>
      </c>
      <c r="AD135" s="1">
        <v>0.14748385440180586</v>
      </c>
      <c r="AE135" s="1">
        <v>9.5158758465011289E-2</v>
      </c>
      <c r="AF135" s="2">
        <f t="shared" si="35"/>
        <v>0.24264261286681715</v>
      </c>
      <c r="AG135" s="2">
        <f>AF135+AC135</f>
        <v>0.25881540632054179</v>
      </c>
      <c r="AH135" s="1">
        <v>0.14581297404063207</v>
      </c>
      <c r="AI135" s="2">
        <f t="shared" si="36"/>
        <v>0.31862511851015801</v>
      </c>
      <c r="AJ135" s="1">
        <v>9.1816642212189617E-2</v>
      </c>
      <c r="AK135" s="1">
        <v>0.14733686794582393</v>
      </c>
      <c r="AL135" s="4">
        <f t="shared" si="37"/>
        <v>0.23915351015801356</v>
      </c>
      <c r="AM135" s="1">
        <v>6.8070592550790066E-2</v>
      </c>
      <c r="AN135" s="4">
        <f t="shared" si="38"/>
        <v>0.30722410270880363</v>
      </c>
      <c r="AO135" s="1">
        <v>2.3614424379232505E-2</v>
      </c>
      <c r="AP135" s="1">
        <v>0.10448622460496614</v>
      </c>
      <c r="AQ135" s="4">
        <f t="shared" si="39"/>
        <v>0.12810064898419865</v>
      </c>
      <c r="AR135" s="1">
        <v>0.43532475169300228</v>
      </c>
      <c r="AS135" s="1">
        <v>0.46443809255079005</v>
      </c>
      <c r="AT135" s="1">
        <v>0.10023715575620762</v>
      </c>
      <c r="AU135" s="1">
        <f t="shared" si="40"/>
        <v>6.8340852144469527E-2</v>
      </c>
      <c r="AV135" s="1">
        <v>12</v>
      </c>
      <c r="AW135">
        <v>421</v>
      </c>
      <c r="AX135">
        <v>283</v>
      </c>
      <c r="AY135" s="6">
        <v>9</v>
      </c>
      <c r="AZ135" s="6">
        <v>1</v>
      </c>
      <c r="BA135" s="11">
        <f t="shared" si="41"/>
        <v>26.3125</v>
      </c>
      <c r="BB135">
        <f t="shared" si="42"/>
        <v>17.6875</v>
      </c>
      <c r="BC135">
        <f t="shared" si="43"/>
        <v>138</v>
      </c>
      <c r="BD135">
        <f t="shared" si="44"/>
        <v>8.625</v>
      </c>
      <c r="BE135" s="10">
        <v>12.0704708594041</v>
      </c>
      <c r="BF135" s="6">
        <v>26</v>
      </c>
      <c r="BG135" s="6">
        <v>26.7254</v>
      </c>
      <c r="BH135" s="6">
        <v>0.54658600000000002</v>
      </c>
      <c r="BI135" s="6">
        <v>0.65517199999999998</v>
      </c>
      <c r="BJ135" s="6"/>
      <c r="BK135" s="6" t="s">
        <v>73</v>
      </c>
      <c r="BL135" s="6" t="s">
        <v>74</v>
      </c>
      <c r="BM135" s="6" t="s">
        <v>75</v>
      </c>
      <c r="BN135" s="6" t="s">
        <v>75</v>
      </c>
    </row>
    <row r="136" spans="1:80">
      <c r="A136" s="1" t="s">
        <v>246</v>
      </c>
      <c r="B136" s="1">
        <v>2018</v>
      </c>
      <c r="C136" s="1" t="s">
        <v>87</v>
      </c>
      <c r="D136" s="1">
        <v>17198153</v>
      </c>
      <c r="E136" s="1">
        <v>6168245</v>
      </c>
      <c r="F136" s="1">
        <v>22333466</v>
      </c>
      <c r="G136" s="1">
        <v>9109741</v>
      </c>
      <c r="H136" s="2">
        <f t="shared" si="30"/>
        <v>31443207</v>
      </c>
      <c r="I136" s="2">
        <f>H136+E136</f>
        <v>37611452</v>
      </c>
      <c r="J136" s="1">
        <v>26761854</v>
      </c>
      <c r="K136" s="2">
        <f t="shared" si="31"/>
        <v>54809605</v>
      </c>
      <c r="L136" s="1">
        <v>81571459</v>
      </c>
      <c r="M136" s="1">
        <v>17980043</v>
      </c>
      <c r="N136" s="1">
        <v>21586114</v>
      </c>
      <c r="O136" s="4">
        <f t="shared" si="32"/>
        <v>39566157</v>
      </c>
      <c r="P136" s="1">
        <v>18408108</v>
      </c>
      <c r="Q136" s="4">
        <f t="shared" si="33"/>
        <v>57974265</v>
      </c>
      <c r="R136" s="1">
        <v>6721891</v>
      </c>
      <c r="S136" s="1">
        <v>22735864</v>
      </c>
      <c r="T136" s="4">
        <f t="shared" si="34"/>
        <v>29457755</v>
      </c>
      <c r="U136" s="1">
        <v>87432020</v>
      </c>
      <c r="V136" s="1">
        <v>2018</v>
      </c>
      <c r="W136" s="8">
        <v>59003629</v>
      </c>
      <c r="X136" s="1">
        <v>0.375</v>
      </c>
      <c r="Y136" s="1">
        <v>0</v>
      </c>
      <c r="Z136" s="1">
        <v>0</v>
      </c>
      <c r="AA136" s="1">
        <v>177200000</v>
      </c>
      <c r="AB136" s="1">
        <v>9.7055039503386009E-2</v>
      </c>
      <c r="AC136" s="1">
        <v>3.4809509029345376E-2</v>
      </c>
      <c r="AD136" s="1">
        <v>0.12603536117381489</v>
      </c>
      <c r="AE136" s="1">
        <v>5.1409373589164788E-2</v>
      </c>
      <c r="AF136" s="2">
        <f t="shared" si="35"/>
        <v>0.17744473476297967</v>
      </c>
      <c r="AG136" s="2">
        <f>AF136+AC136</f>
        <v>0.21225424379232505</v>
      </c>
      <c r="AH136" s="1">
        <v>0.15102626410835215</v>
      </c>
      <c r="AI136" s="2">
        <f t="shared" si="36"/>
        <v>0.30930928329571111</v>
      </c>
      <c r="AJ136" s="1">
        <v>0.10146751128668172</v>
      </c>
      <c r="AK136" s="1">
        <v>0.12181779909706546</v>
      </c>
      <c r="AL136" s="4">
        <f t="shared" si="37"/>
        <v>0.22328531038374716</v>
      </c>
      <c r="AM136" s="1">
        <v>0.10388322799097066</v>
      </c>
      <c r="AN136" s="4">
        <f t="shared" si="38"/>
        <v>0.32716853837471782</v>
      </c>
      <c r="AO136" s="1">
        <v>3.7933922121896162E-2</v>
      </c>
      <c r="AP136" s="1">
        <v>0.12830623024830701</v>
      </c>
      <c r="AQ136" s="4">
        <f t="shared" si="39"/>
        <v>0.16624015237020318</v>
      </c>
      <c r="AR136" s="1">
        <v>0.493408690744921</v>
      </c>
      <c r="AS136" s="1">
        <v>0.46033554740406318</v>
      </c>
      <c r="AT136" s="1">
        <v>4.6255761851015764E-2</v>
      </c>
      <c r="AU136" s="1">
        <f t="shared" si="40"/>
        <v>0.33297759029345375</v>
      </c>
      <c r="AV136" s="1">
        <v>6</v>
      </c>
      <c r="AW136">
        <v>368</v>
      </c>
      <c r="AX136">
        <v>455</v>
      </c>
      <c r="AY136" s="6">
        <v>17</v>
      </c>
      <c r="AZ136" s="6">
        <v>30</v>
      </c>
      <c r="BA136" s="11">
        <f t="shared" si="41"/>
        <v>23</v>
      </c>
      <c r="BB136">
        <f t="shared" si="42"/>
        <v>28.4375</v>
      </c>
      <c r="BC136">
        <f t="shared" si="43"/>
        <v>-87</v>
      </c>
      <c r="BD136">
        <f t="shared" si="44"/>
        <v>-5.4375</v>
      </c>
      <c r="BE136" s="10">
        <v>5.5357357625448298</v>
      </c>
      <c r="BF136" s="6">
        <v>25.549299999999999</v>
      </c>
      <c r="BG136" s="6">
        <v>28.08569</v>
      </c>
      <c r="BH136" s="6">
        <v>0.66153099999999998</v>
      </c>
      <c r="BI136" s="6">
        <v>0.64788699999999999</v>
      </c>
      <c r="BJ136" s="6"/>
      <c r="BK136" s="6" t="s">
        <v>80</v>
      </c>
      <c r="BL136" s="6" t="s">
        <v>96</v>
      </c>
      <c r="BM136" s="6" t="s">
        <v>164</v>
      </c>
      <c r="BN136" s="6" t="s">
        <v>70</v>
      </c>
    </row>
    <row r="137" spans="1:80">
      <c r="A137" s="1" t="s">
        <v>247</v>
      </c>
      <c r="B137" s="1">
        <v>2018</v>
      </c>
      <c r="C137" s="1" t="s">
        <v>89</v>
      </c>
      <c r="D137" s="1">
        <v>24442360</v>
      </c>
      <c r="E137" s="1">
        <v>5651728</v>
      </c>
      <c r="F137" s="1">
        <v>19436865</v>
      </c>
      <c r="G137" s="1">
        <v>7333699</v>
      </c>
      <c r="H137" s="2">
        <f t="shared" si="30"/>
        <v>26770564</v>
      </c>
      <c r="I137" s="2">
        <f>H137+E137</f>
        <v>32422292</v>
      </c>
      <c r="J137" s="1">
        <v>34889282</v>
      </c>
      <c r="K137" s="2">
        <f t="shared" si="31"/>
        <v>56864652</v>
      </c>
      <c r="L137" s="1">
        <v>91753934</v>
      </c>
      <c r="M137" s="1">
        <v>2692766</v>
      </c>
      <c r="N137" s="1">
        <v>13837156</v>
      </c>
      <c r="O137" s="4">
        <f t="shared" si="32"/>
        <v>16529922</v>
      </c>
      <c r="P137" s="1">
        <v>21595019</v>
      </c>
      <c r="Q137" s="4">
        <f t="shared" si="33"/>
        <v>38124941</v>
      </c>
      <c r="R137" s="1">
        <v>5640141</v>
      </c>
      <c r="S137" s="1">
        <v>18933305</v>
      </c>
      <c r="T137" s="4">
        <f t="shared" si="34"/>
        <v>24573446</v>
      </c>
      <c r="U137" s="1">
        <v>62698387</v>
      </c>
      <c r="V137" s="1">
        <v>2018</v>
      </c>
      <c r="W137" s="8">
        <v>13574727</v>
      </c>
      <c r="X137" s="1">
        <v>0.46899999999999997</v>
      </c>
      <c r="Y137" s="1">
        <v>0</v>
      </c>
      <c r="Z137" s="1">
        <v>0</v>
      </c>
      <c r="AA137" s="1">
        <v>177200000</v>
      </c>
      <c r="AB137" s="1">
        <v>0.13793656884875846</v>
      </c>
      <c r="AC137" s="1">
        <v>3.1894627539503388E-2</v>
      </c>
      <c r="AD137" s="1">
        <v>0.10968885440180587</v>
      </c>
      <c r="AE137" s="1">
        <v>4.1386563205417608E-2</v>
      </c>
      <c r="AF137" s="2">
        <f t="shared" si="35"/>
        <v>0.15107541760722348</v>
      </c>
      <c r="AG137" s="2">
        <f>AF137+AC137</f>
        <v>0.18297004514672688</v>
      </c>
      <c r="AH137" s="1">
        <v>0.19689211060948081</v>
      </c>
      <c r="AI137" s="2">
        <f t="shared" si="36"/>
        <v>0.32090661399548531</v>
      </c>
      <c r="AJ137" s="1">
        <v>1.5196196388261852E-2</v>
      </c>
      <c r="AK137" s="1">
        <v>7.8087787810383752E-2</v>
      </c>
      <c r="AL137" s="4">
        <f t="shared" si="37"/>
        <v>9.32839841986456E-2</v>
      </c>
      <c r="AM137" s="1">
        <v>0.12186805304740406</v>
      </c>
      <c r="AN137" s="4">
        <f t="shared" si="38"/>
        <v>0.21515203724604964</v>
      </c>
      <c r="AO137" s="1">
        <v>3.1829238148984196E-2</v>
      </c>
      <c r="AP137" s="1">
        <v>0.10684709367945824</v>
      </c>
      <c r="AQ137" s="4">
        <f t="shared" si="39"/>
        <v>0.13867633182844244</v>
      </c>
      <c r="AR137" s="1">
        <v>0.35382836907449211</v>
      </c>
      <c r="AS137" s="1">
        <v>0.51779872460496612</v>
      </c>
      <c r="AT137" s="1">
        <v>0.12837290632054177</v>
      </c>
      <c r="AU137" s="1">
        <f t="shared" si="40"/>
        <v>7.6606811512415343E-2</v>
      </c>
      <c r="AV137" s="1">
        <v>7</v>
      </c>
      <c r="AW137">
        <v>359</v>
      </c>
      <c r="AX137">
        <v>392</v>
      </c>
      <c r="AY137" s="6">
        <v>20</v>
      </c>
      <c r="AZ137" s="6">
        <v>21</v>
      </c>
      <c r="BA137" s="11">
        <f t="shared" si="41"/>
        <v>22.4375</v>
      </c>
      <c r="BB137">
        <f t="shared" si="42"/>
        <v>24.5</v>
      </c>
      <c r="BC137">
        <f t="shared" si="43"/>
        <v>-33</v>
      </c>
      <c r="BD137">
        <f t="shared" si="44"/>
        <v>-2.0625</v>
      </c>
      <c r="BE137" s="10">
        <v>7.10407218579107</v>
      </c>
      <c r="BF137" s="6">
        <v>25.396830000000001</v>
      </c>
      <c r="BG137" s="6">
        <v>26.51107</v>
      </c>
      <c r="BH137" s="6">
        <v>0.62976299999999996</v>
      </c>
      <c r="BI137" s="6">
        <v>0.30158699999999999</v>
      </c>
      <c r="BJ137" s="6"/>
      <c r="BK137" s="6" t="s">
        <v>73</v>
      </c>
      <c r="BL137" s="6" t="s">
        <v>96</v>
      </c>
      <c r="BM137" s="6" t="s">
        <v>93</v>
      </c>
      <c r="BN137" s="6" t="s">
        <v>93</v>
      </c>
    </row>
    <row r="138" spans="1:80">
      <c r="A138" s="1" t="s">
        <v>248</v>
      </c>
      <c r="B138" s="1">
        <v>2018</v>
      </c>
      <c r="C138" s="1" t="s">
        <v>91</v>
      </c>
      <c r="D138" s="1">
        <v>1816903</v>
      </c>
      <c r="E138" s="1">
        <v>7705768</v>
      </c>
      <c r="F138" s="1">
        <v>17811897</v>
      </c>
      <c r="G138" s="1">
        <v>2372304</v>
      </c>
      <c r="H138" s="2">
        <f t="shared" si="30"/>
        <v>20184201</v>
      </c>
      <c r="I138" s="2">
        <f>H138+E138</f>
        <v>27889969</v>
      </c>
      <c r="J138" s="1">
        <v>43159686</v>
      </c>
      <c r="K138" s="2">
        <f t="shared" si="31"/>
        <v>29706872</v>
      </c>
      <c r="L138" s="1">
        <v>72866558</v>
      </c>
      <c r="M138" s="1">
        <v>5600665</v>
      </c>
      <c r="N138" s="1">
        <v>30183328</v>
      </c>
      <c r="O138" s="4">
        <f t="shared" si="32"/>
        <v>35783993</v>
      </c>
      <c r="P138" s="1">
        <v>18325353</v>
      </c>
      <c r="Q138" s="4">
        <f t="shared" si="33"/>
        <v>54109346</v>
      </c>
      <c r="R138" s="1">
        <v>4718347</v>
      </c>
      <c r="S138" s="1">
        <v>5642991</v>
      </c>
      <c r="T138" s="4">
        <f t="shared" si="34"/>
        <v>10361338</v>
      </c>
      <c r="U138" s="1">
        <v>64470684</v>
      </c>
      <c r="V138" s="1">
        <v>2018</v>
      </c>
      <c r="W138" s="8">
        <v>20272639</v>
      </c>
      <c r="X138" s="1">
        <v>0.625</v>
      </c>
      <c r="Y138" s="1">
        <v>1</v>
      </c>
      <c r="Z138" s="1">
        <v>0</v>
      </c>
      <c r="AA138" s="1">
        <v>177200000</v>
      </c>
      <c r="AB138" s="1">
        <v>1.0253402934537246E-2</v>
      </c>
      <c r="AC138" s="1">
        <v>4.3486275395033858E-2</v>
      </c>
      <c r="AD138" s="1">
        <v>0.10051860609480813</v>
      </c>
      <c r="AE138" s="1">
        <v>1.3387720090293454E-2</v>
      </c>
      <c r="AF138" s="2">
        <f t="shared" si="35"/>
        <v>0.11390632618510159</v>
      </c>
      <c r="AG138" s="2">
        <f>AF138+AC138</f>
        <v>0.15739260158013546</v>
      </c>
      <c r="AH138" s="1">
        <v>0.24356481941309255</v>
      </c>
      <c r="AI138" s="2">
        <f t="shared" si="36"/>
        <v>0.16764600451467268</v>
      </c>
      <c r="AJ138" s="1">
        <v>3.1606461625282169E-2</v>
      </c>
      <c r="AK138" s="1">
        <v>0.17033480812641083</v>
      </c>
      <c r="AL138" s="4">
        <f t="shared" si="37"/>
        <v>0.20194126975169299</v>
      </c>
      <c r="AM138" s="1">
        <v>0.10341621331828442</v>
      </c>
      <c r="AN138" s="4">
        <f t="shared" si="38"/>
        <v>0.3053574830699774</v>
      </c>
      <c r="AO138" s="1">
        <v>2.6627240406320543E-2</v>
      </c>
      <c r="AP138" s="1">
        <v>3.1845321670428896E-2</v>
      </c>
      <c r="AQ138" s="4">
        <f t="shared" si="39"/>
        <v>5.8472562076749439E-2</v>
      </c>
      <c r="AR138" s="1">
        <v>0.36383004514672684</v>
      </c>
      <c r="AS138" s="1">
        <v>0.41121082392776526</v>
      </c>
      <c r="AT138" s="1">
        <v>0.2249591309255079</v>
      </c>
      <c r="AU138" s="1">
        <f t="shared" si="40"/>
        <v>0.11440541196388263</v>
      </c>
      <c r="AV138" s="1">
        <v>10</v>
      </c>
      <c r="AW138">
        <v>339</v>
      </c>
      <c r="AX138">
        <v>324</v>
      </c>
      <c r="AY138" s="6">
        <v>22</v>
      </c>
      <c r="AZ138" s="6">
        <v>6</v>
      </c>
      <c r="BA138" s="11">
        <f t="shared" si="41"/>
        <v>21.1875</v>
      </c>
      <c r="BB138">
        <f t="shared" si="42"/>
        <v>20.25</v>
      </c>
      <c r="BC138">
        <f t="shared" si="43"/>
        <v>15</v>
      </c>
      <c r="BD138">
        <f t="shared" si="44"/>
        <v>0.9375</v>
      </c>
      <c r="BE138" s="10">
        <v>8.4981490064543799</v>
      </c>
      <c r="BF138" s="6">
        <v>25.5625</v>
      </c>
      <c r="BG138" s="6">
        <v>26.85342</v>
      </c>
      <c r="BH138" s="6">
        <v>0.61579300000000003</v>
      </c>
      <c r="BI138" s="6">
        <v>0.546875</v>
      </c>
      <c r="BJ138" s="6"/>
      <c r="BK138" s="6" t="s">
        <v>73</v>
      </c>
      <c r="BL138" s="6" t="s">
        <v>68</v>
      </c>
      <c r="BM138" s="6" t="s">
        <v>99</v>
      </c>
      <c r="BN138" s="6" t="s">
        <v>93</v>
      </c>
    </row>
    <row r="139" spans="1:80">
      <c r="A139" s="1" t="s">
        <v>249</v>
      </c>
      <c r="B139" s="1">
        <v>2018</v>
      </c>
      <c r="C139" s="1" t="s">
        <v>95</v>
      </c>
      <c r="D139" s="1">
        <v>15706000</v>
      </c>
      <c r="E139" s="1">
        <v>1963621</v>
      </c>
      <c r="F139" s="1">
        <v>14510892</v>
      </c>
      <c r="G139" s="1">
        <v>2980830</v>
      </c>
      <c r="H139" s="2">
        <f t="shared" si="30"/>
        <v>17491722</v>
      </c>
      <c r="I139" s="2">
        <f>H139+E139</f>
        <v>19455343</v>
      </c>
      <c r="J139" s="1">
        <v>27685340</v>
      </c>
      <c r="K139" s="2">
        <f t="shared" si="31"/>
        <v>35161343</v>
      </c>
      <c r="L139" s="1">
        <v>62846683</v>
      </c>
      <c r="M139" s="1">
        <v>19610747</v>
      </c>
      <c r="N139" s="1">
        <v>22060696</v>
      </c>
      <c r="O139" s="4">
        <f t="shared" si="32"/>
        <v>41671443</v>
      </c>
      <c r="P139" s="1">
        <v>13626497</v>
      </c>
      <c r="Q139" s="4">
        <f t="shared" si="33"/>
        <v>55297940</v>
      </c>
      <c r="R139" s="1">
        <v>8651558</v>
      </c>
      <c r="S139" s="1">
        <v>23101585</v>
      </c>
      <c r="T139" s="4">
        <f t="shared" si="34"/>
        <v>31753143</v>
      </c>
      <c r="U139" s="1">
        <v>87051083</v>
      </c>
      <c r="V139" s="1">
        <v>2018</v>
      </c>
      <c r="W139" s="8">
        <v>39904965</v>
      </c>
      <c r="X139" s="1">
        <v>0.375</v>
      </c>
      <c r="Y139" s="1">
        <v>0</v>
      </c>
      <c r="Z139" s="1">
        <v>0</v>
      </c>
      <c r="AA139" s="1">
        <v>177200000</v>
      </c>
      <c r="AB139" s="1">
        <v>8.8634311512415354E-2</v>
      </c>
      <c r="AC139" s="1">
        <v>1.1081382618510159E-2</v>
      </c>
      <c r="AD139" s="1">
        <v>8.1889909706546277E-2</v>
      </c>
      <c r="AE139" s="1">
        <v>1.6821839729119638E-2</v>
      </c>
      <c r="AF139" s="2">
        <f t="shared" si="35"/>
        <v>9.8711749435665908E-2</v>
      </c>
      <c r="AG139" s="2">
        <f>AF139+AC139</f>
        <v>0.10979313205417607</v>
      </c>
      <c r="AH139" s="1">
        <v>0.15623781038374718</v>
      </c>
      <c r="AI139" s="2">
        <f t="shared" si="36"/>
        <v>0.19842744356659142</v>
      </c>
      <c r="AJ139" s="1">
        <v>0.11067012979683973</v>
      </c>
      <c r="AK139" s="1">
        <v>0.12449602708803612</v>
      </c>
      <c r="AL139" s="4">
        <f t="shared" si="37"/>
        <v>0.23516615688487585</v>
      </c>
      <c r="AM139" s="1">
        <v>7.6898967268623025E-2</v>
      </c>
      <c r="AN139" s="4">
        <f t="shared" si="38"/>
        <v>0.31206512415349885</v>
      </c>
      <c r="AO139" s="1">
        <v>4.8823690744920996E-2</v>
      </c>
      <c r="AP139" s="1">
        <v>0.13037011851015801</v>
      </c>
      <c r="AQ139" s="4">
        <f t="shared" si="39"/>
        <v>0.179193809255079</v>
      </c>
      <c r="AR139" s="1">
        <v>0.4912589334085779</v>
      </c>
      <c r="AS139" s="1">
        <v>0.3546652539503386</v>
      </c>
      <c r="AT139" s="1">
        <v>0.1540758126410835</v>
      </c>
      <c r="AU139" s="1">
        <f t="shared" si="40"/>
        <v>0.22519731941309254</v>
      </c>
      <c r="AV139" s="1">
        <v>6</v>
      </c>
      <c r="AW139">
        <v>329</v>
      </c>
      <c r="AX139">
        <v>349</v>
      </c>
      <c r="AY139" s="6">
        <v>24</v>
      </c>
      <c r="AZ139" s="6">
        <v>13</v>
      </c>
      <c r="BA139" s="11">
        <f t="shared" si="41"/>
        <v>20.5625</v>
      </c>
      <c r="BB139">
        <f t="shared" si="42"/>
        <v>21.8125</v>
      </c>
      <c r="BC139">
        <f t="shared" si="43"/>
        <v>-20</v>
      </c>
      <c r="BD139">
        <f t="shared" si="44"/>
        <v>-1.25</v>
      </c>
      <c r="BE139" s="10">
        <v>7.48163465805405</v>
      </c>
      <c r="BF139" s="6">
        <v>25.83333</v>
      </c>
      <c r="BG139" s="6">
        <v>28.09076</v>
      </c>
      <c r="BH139" s="6">
        <v>0.64690300000000001</v>
      </c>
      <c r="BI139" s="6">
        <v>0.56060600000000005</v>
      </c>
      <c r="BJ139" s="6"/>
      <c r="BK139" s="6" t="s">
        <v>80</v>
      </c>
      <c r="BL139" s="6" t="s">
        <v>96</v>
      </c>
      <c r="BM139" s="6" t="s">
        <v>164</v>
      </c>
      <c r="BN139" s="6" t="s">
        <v>70</v>
      </c>
    </row>
    <row r="140" spans="1:80">
      <c r="A140" s="1" t="s">
        <v>250</v>
      </c>
      <c r="B140" s="1">
        <v>2018</v>
      </c>
      <c r="C140" s="1" t="s">
        <v>98</v>
      </c>
      <c r="D140" s="1">
        <v>27560000</v>
      </c>
      <c r="E140" s="1">
        <v>7708425</v>
      </c>
      <c r="F140" s="1">
        <v>10261176</v>
      </c>
      <c r="G140" s="1">
        <v>4771517</v>
      </c>
      <c r="H140" s="2">
        <f t="shared" si="30"/>
        <v>15032693</v>
      </c>
      <c r="I140" s="2">
        <f>H140+E140</f>
        <v>22741118</v>
      </c>
      <c r="J140" s="1">
        <v>26454707</v>
      </c>
      <c r="K140" s="2">
        <f t="shared" si="31"/>
        <v>50301118</v>
      </c>
      <c r="L140" s="1">
        <v>76755825</v>
      </c>
      <c r="M140" s="1">
        <v>6088251</v>
      </c>
      <c r="N140" s="1">
        <v>19866349</v>
      </c>
      <c r="O140" s="4">
        <f t="shared" si="32"/>
        <v>25954600</v>
      </c>
      <c r="P140" s="1">
        <v>13152062</v>
      </c>
      <c r="Q140" s="4">
        <f t="shared" si="33"/>
        <v>39106662</v>
      </c>
      <c r="R140" s="1">
        <v>13868343</v>
      </c>
      <c r="S140" s="1">
        <v>12942767</v>
      </c>
      <c r="T140" s="4">
        <f t="shared" si="34"/>
        <v>26811110</v>
      </c>
      <c r="U140" s="1">
        <v>65917772</v>
      </c>
      <c r="V140" s="1">
        <v>2018</v>
      </c>
      <c r="W140" s="8">
        <v>41275765</v>
      </c>
      <c r="X140" s="1">
        <v>0.375</v>
      </c>
      <c r="Y140" s="1">
        <v>0</v>
      </c>
      <c r="Z140" s="1">
        <v>0</v>
      </c>
      <c r="AA140" s="1">
        <v>177200000</v>
      </c>
      <c r="AB140" s="1">
        <v>0.15553047404063206</v>
      </c>
      <c r="AC140" s="1">
        <v>4.3501269751693002E-2</v>
      </c>
      <c r="AD140" s="1">
        <v>5.7907313769751695E-2</v>
      </c>
      <c r="AE140" s="1">
        <v>2.6927296839729119E-2</v>
      </c>
      <c r="AF140" s="2">
        <f t="shared" si="35"/>
        <v>8.4834610609480818E-2</v>
      </c>
      <c r="AG140" s="2">
        <f>AF140+AC140</f>
        <v>0.12833588036117383</v>
      </c>
      <c r="AH140" s="1">
        <v>0.14929292889390519</v>
      </c>
      <c r="AI140" s="2">
        <f t="shared" si="36"/>
        <v>0.28386635440180585</v>
      </c>
      <c r="AJ140" s="1">
        <v>3.4358075620767495E-2</v>
      </c>
      <c r="AK140" s="1">
        <v>0.112112579006772</v>
      </c>
      <c r="AL140" s="4">
        <f t="shared" si="37"/>
        <v>0.1464706546275395</v>
      </c>
      <c r="AM140" s="1">
        <v>7.4221568848758468E-2</v>
      </c>
      <c r="AN140" s="4">
        <f t="shared" si="38"/>
        <v>0.22069222347629797</v>
      </c>
      <c r="AO140" s="1">
        <v>7.8263786681715575E-2</v>
      </c>
      <c r="AP140" s="1">
        <v>7.3040445823927769E-2</v>
      </c>
      <c r="AQ140" s="4">
        <f t="shared" si="39"/>
        <v>0.15130423250564334</v>
      </c>
      <c r="AR140" s="1">
        <v>0.37199645598194131</v>
      </c>
      <c r="AS140" s="1">
        <v>0.43315928329571107</v>
      </c>
      <c r="AT140" s="1">
        <v>0.19484426072234762</v>
      </c>
      <c r="AU140" s="1">
        <f t="shared" si="40"/>
        <v>0.23293321106094808</v>
      </c>
      <c r="AV140" s="1">
        <v>6</v>
      </c>
      <c r="AW140">
        <v>324</v>
      </c>
      <c r="AX140">
        <v>360</v>
      </c>
      <c r="AY140" s="6">
        <v>25</v>
      </c>
      <c r="AZ140" s="6">
        <v>16</v>
      </c>
      <c r="BA140" s="11">
        <f t="shared" si="41"/>
        <v>20.25</v>
      </c>
      <c r="BB140">
        <f t="shared" si="42"/>
        <v>22.5</v>
      </c>
      <c r="BC140">
        <f t="shared" si="43"/>
        <v>-36</v>
      </c>
      <c r="BD140">
        <f t="shared" si="44"/>
        <v>-2.25</v>
      </c>
      <c r="BE140" s="10">
        <v>7.0169423844996102</v>
      </c>
      <c r="BF140" s="6">
        <v>26.393940000000001</v>
      </c>
      <c r="BG140" s="6">
        <v>28.357420000000001</v>
      </c>
      <c r="BH140" s="6">
        <v>0.65315699999999999</v>
      </c>
      <c r="BI140" s="6">
        <v>0.484848</v>
      </c>
      <c r="BJ140" s="6"/>
      <c r="BK140" s="6" t="s">
        <v>80</v>
      </c>
      <c r="BL140" s="6" t="s">
        <v>96</v>
      </c>
      <c r="BM140" s="6" t="s">
        <v>164</v>
      </c>
      <c r="BN140" s="6" t="s">
        <v>70</v>
      </c>
    </row>
    <row r="141" spans="1:80">
      <c r="A141" s="1" t="s">
        <v>251</v>
      </c>
      <c r="B141" s="1">
        <v>2018</v>
      </c>
      <c r="C141" s="1" t="s">
        <v>101</v>
      </c>
      <c r="D141" s="1">
        <v>22071928</v>
      </c>
      <c r="E141" s="1">
        <v>1581868</v>
      </c>
      <c r="F141" s="1">
        <v>26709607</v>
      </c>
      <c r="G141" s="1">
        <v>10835666</v>
      </c>
      <c r="H141" s="2">
        <f>SUM(F141:G141)</f>
        <v>37545273</v>
      </c>
      <c r="I141" s="2">
        <f>H141+E141</f>
        <v>39127141</v>
      </c>
      <c r="J141" s="1">
        <v>33058976</v>
      </c>
      <c r="K141" s="2">
        <f>SUM(D141:G141)</f>
        <v>61199069</v>
      </c>
      <c r="L141" s="1">
        <v>94258045</v>
      </c>
      <c r="M141" s="1">
        <v>19391088</v>
      </c>
      <c r="N141" s="1">
        <v>23692894</v>
      </c>
      <c r="O141" s="4">
        <f>SUM(M141:N141)</f>
        <v>43083982</v>
      </c>
      <c r="P141" s="1">
        <v>4603006</v>
      </c>
      <c r="Q141" s="4">
        <f>SUM(O141:P141)</f>
        <v>47686988</v>
      </c>
      <c r="R141" s="1">
        <v>2949361</v>
      </c>
      <c r="S141" s="1">
        <v>10277116</v>
      </c>
      <c r="T141" s="4">
        <f>SUM(R141:S141)</f>
        <v>13226477</v>
      </c>
      <c r="U141" s="1">
        <v>60913465</v>
      </c>
      <c r="V141" s="1">
        <v>2018</v>
      </c>
      <c r="W141" s="8">
        <v>36526400</v>
      </c>
      <c r="X141" s="1">
        <v>0.40600000000000003</v>
      </c>
      <c r="Y141" s="1">
        <v>0</v>
      </c>
      <c r="Z141" s="1">
        <v>0</v>
      </c>
      <c r="AA141" s="1">
        <v>177200000</v>
      </c>
      <c r="AB141" s="1">
        <v>0.12455941309255079</v>
      </c>
      <c r="AC141" s="1">
        <v>8.9270203160270872E-3</v>
      </c>
      <c r="AD141" s="1">
        <v>0.15073141647855531</v>
      </c>
      <c r="AE141" s="1">
        <v>6.1149356659142215E-2</v>
      </c>
      <c r="AF141" s="2">
        <f>SUM(AD141:AE141)</f>
        <v>0.21188077313769754</v>
      </c>
      <c r="AG141" s="2">
        <f>AF141+AC141</f>
        <v>0.22080779345372464</v>
      </c>
      <c r="AH141" s="1">
        <v>0.18656306997742664</v>
      </c>
      <c r="AI141" s="2">
        <f>SUM(AB141:AE141)</f>
        <v>0.3453672065462754</v>
      </c>
      <c r="AJ141" s="1">
        <v>0.10943051918735891</v>
      </c>
      <c r="AK141" s="1">
        <v>0.13370707674943566</v>
      </c>
      <c r="AL141" s="4">
        <f>SUM(AJ141:AK141)</f>
        <v>0.24313759593679457</v>
      </c>
      <c r="AM141" s="1">
        <v>2.5976331828442438E-2</v>
      </c>
      <c r="AN141" s="4">
        <f>SUM(AL141:AM141)</f>
        <v>0.26911392776523702</v>
      </c>
      <c r="AO141" s="1">
        <v>1.6644249435665913E-2</v>
      </c>
      <c r="AP141" s="1">
        <v>5.7997268623024831E-2</v>
      </c>
      <c r="AQ141" s="4">
        <f>SUM(AO141:AP141)</f>
        <v>7.4641518058690737E-2</v>
      </c>
      <c r="AR141" s="1">
        <v>0.34375544582392775</v>
      </c>
      <c r="AS141" s="1">
        <v>0.53193027652370206</v>
      </c>
      <c r="AT141" s="1">
        <v>0.12431427765237024</v>
      </c>
      <c r="AU141" s="1">
        <f t="shared" si="40"/>
        <v>0.20613092550790069</v>
      </c>
      <c r="AV141" s="1">
        <v>6</v>
      </c>
      <c r="AW141">
        <v>376</v>
      </c>
      <c r="AX141">
        <v>400</v>
      </c>
      <c r="AY141" s="6">
        <v>14</v>
      </c>
      <c r="AZ141" s="6">
        <v>22</v>
      </c>
      <c r="BA141" s="11">
        <f t="shared" si="41"/>
        <v>23.5</v>
      </c>
      <c r="BB141">
        <f t="shared" si="42"/>
        <v>25</v>
      </c>
      <c r="BC141">
        <f t="shared" si="43"/>
        <v>-24</v>
      </c>
      <c r="BD141">
        <f t="shared" si="44"/>
        <v>-1.5</v>
      </c>
      <c r="BE141" s="10">
        <v>7.3654615896654398</v>
      </c>
      <c r="BF141" s="6">
        <v>25.632349999999999</v>
      </c>
      <c r="BG141" s="6">
        <v>28.944230000000001</v>
      </c>
      <c r="BH141" s="6">
        <v>0.68435400000000002</v>
      </c>
      <c r="BI141" s="6">
        <v>0.45588200000000001</v>
      </c>
      <c r="BJ141" s="6"/>
      <c r="BK141" s="6" t="s">
        <v>67</v>
      </c>
      <c r="BL141" s="6" t="s">
        <v>96</v>
      </c>
      <c r="BM141" s="6" t="s">
        <v>70</v>
      </c>
      <c r="BN141" s="6" t="s">
        <v>70</v>
      </c>
    </row>
    <row r="142" spans="1:80">
      <c r="A142" s="1" t="s">
        <v>252</v>
      </c>
      <c r="B142" s="1">
        <v>2018</v>
      </c>
      <c r="C142" s="1" t="s">
        <v>104</v>
      </c>
      <c r="D142" s="1">
        <v>4498746</v>
      </c>
      <c r="E142" s="1">
        <v>8781571</v>
      </c>
      <c r="F142" s="1">
        <v>22937792</v>
      </c>
      <c r="G142" s="1">
        <v>3958681</v>
      </c>
      <c r="H142" s="2">
        <f t="shared" si="30"/>
        <v>26896473</v>
      </c>
      <c r="I142" s="2">
        <f>H142+E142</f>
        <v>35678044</v>
      </c>
      <c r="J142" s="1">
        <v>21831728</v>
      </c>
      <c r="K142" s="2">
        <f t="shared" si="31"/>
        <v>40176790</v>
      </c>
      <c r="L142" s="1">
        <v>62008518</v>
      </c>
      <c r="M142" s="1">
        <v>19458959</v>
      </c>
      <c r="N142" s="1">
        <v>20876470</v>
      </c>
      <c r="O142" s="4">
        <f t="shared" si="32"/>
        <v>40335429</v>
      </c>
      <c r="P142" s="1">
        <v>10503200</v>
      </c>
      <c r="Q142" s="4">
        <f t="shared" si="33"/>
        <v>50838629</v>
      </c>
      <c r="R142" s="1">
        <v>11881679</v>
      </c>
      <c r="S142" s="1">
        <v>32029767</v>
      </c>
      <c r="T142" s="4">
        <f t="shared" si="34"/>
        <v>43911446</v>
      </c>
      <c r="U142" s="1">
        <v>94750075</v>
      </c>
      <c r="V142" s="1">
        <v>2018</v>
      </c>
      <c r="W142" s="8">
        <v>16061363</v>
      </c>
      <c r="X142" s="1">
        <v>0.68799999999999994</v>
      </c>
      <c r="Y142" s="1">
        <v>1</v>
      </c>
      <c r="Z142" s="1">
        <v>0</v>
      </c>
      <c r="AA142" s="1">
        <v>177200000</v>
      </c>
      <c r="AB142" s="1">
        <v>2.5387957110609479E-2</v>
      </c>
      <c r="AC142" s="1">
        <v>4.9557398419864562E-2</v>
      </c>
      <c r="AD142" s="1">
        <v>0.12944577878103838</v>
      </c>
      <c r="AE142" s="1">
        <v>2.2340186230248308E-2</v>
      </c>
      <c r="AF142" s="2">
        <f t="shared" si="35"/>
        <v>0.15178596501128669</v>
      </c>
      <c r="AG142" s="2">
        <f>AF142+AC142</f>
        <v>0.20134336343115125</v>
      </c>
      <c r="AH142" s="1">
        <v>0.12320388261851016</v>
      </c>
      <c r="AI142" s="2">
        <f t="shared" si="36"/>
        <v>0.22673132054176073</v>
      </c>
      <c r="AJ142" s="1">
        <v>0.10981353837471783</v>
      </c>
      <c r="AK142" s="1">
        <v>0.11781303611738149</v>
      </c>
      <c r="AL142" s="4">
        <f t="shared" si="37"/>
        <v>0.22762657449209933</v>
      </c>
      <c r="AM142" s="1">
        <v>5.927313769751693E-2</v>
      </c>
      <c r="AN142" s="4">
        <f t="shared" si="38"/>
        <v>0.28689971218961624</v>
      </c>
      <c r="AO142" s="1">
        <v>6.7052364559819416E-2</v>
      </c>
      <c r="AP142" s="1">
        <v>0.18075489277652371</v>
      </c>
      <c r="AQ142" s="4">
        <f t="shared" si="39"/>
        <v>0.24780725733634312</v>
      </c>
      <c r="AR142" s="1">
        <v>0.53470696952595942</v>
      </c>
      <c r="AS142" s="1">
        <v>0.34993520316027088</v>
      </c>
      <c r="AT142" s="1">
        <v>0.11535782731376965</v>
      </c>
      <c r="AU142" s="1">
        <f t="shared" si="40"/>
        <v>9.0639746049661393E-2</v>
      </c>
      <c r="AV142" s="1">
        <v>11</v>
      </c>
      <c r="AW142">
        <v>402</v>
      </c>
      <c r="AX142">
        <v>316</v>
      </c>
      <c r="AY142" s="6">
        <v>11</v>
      </c>
      <c r="AZ142" s="6">
        <v>4</v>
      </c>
      <c r="BA142" s="11">
        <f t="shared" si="41"/>
        <v>25.125</v>
      </c>
      <c r="BB142">
        <f t="shared" si="42"/>
        <v>19.75</v>
      </c>
      <c r="BC142">
        <f t="shared" si="43"/>
        <v>86</v>
      </c>
      <c r="BD142">
        <f t="shared" si="44"/>
        <v>5.375</v>
      </c>
      <c r="BE142" s="10">
        <v>10.5602209703522</v>
      </c>
      <c r="BF142" s="6">
        <v>25.819669999999999</v>
      </c>
      <c r="BG142" s="6">
        <v>27.019069999999999</v>
      </c>
      <c r="BH142" s="6">
        <v>0.61799000000000004</v>
      </c>
      <c r="BI142" s="6">
        <v>0.50819700000000001</v>
      </c>
      <c r="BJ142" s="6"/>
      <c r="BK142" s="6" t="s">
        <v>73</v>
      </c>
      <c r="BL142" s="6" t="s">
        <v>68</v>
      </c>
      <c r="BM142" s="6" t="s">
        <v>99</v>
      </c>
      <c r="BN142" s="6" t="s">
        <v>93</v>
      </c>
    </row>
    <row r="143" spans="1:80">
      <c r="A143" s="1" t="s">
        <v>253</v>
      </c>
      <c r="B143" s="1">
        <v>2018</v>
      </c>
      <c r="C143" s="1" t="s">
        <v>106</v>
      </c>
      <c r="D143" s="1">
        <v>25722676</v>
      </c>
      <c r="E143" s="1">
        <v>2083712</v>
      </c>
      <c r="F143" s="1">
        <v>20549797</v>
      </c>
      <c r="G143" s="1">
        <v>13375573</v>
      </c>
      <c r="H143" s="2">
        <f t="shared" si="30"/>
        <v>33925370</v>
      </c>
      <c r="I143" s="2">
        <f>H143+E143</f>
        <v>36009082</v>
      </c>
      <c r="J143" s="1">
        <v>25098865</v>
      </c>
      <c r="K143" s="2">
        <f t="shared" si="31"/>
        <v>61731758</v>
      </c>
      <c r="L143" s="1">
        <v>86830623</v>
      </c>
      <c r="M143" s="1">
        <v>11406297</v>
      </c>
      <c r="N143" s="1">
        <v>12518570</v>
      </c>
      <c r="O143" s="4">
        <f t="shared" si="32"/>
        <v>23924867</v>
      </c>
      <c r="P143" s="1">
        <v>3849218</v>
      </c>
      <c r="Q143" s="4">
        <f t="shared" si="33"/>
        <v>27774085</v>
      </c>
      <c r="R143" s="1">
        <v>6461829</v>
      </c>
      <c r="S143" s="1">
        <v>5307934</v>
      </c>
      <c r="T143" s="4">
        <f t="shared" si="34"/>
        <v>11769763</v>
      </c>
      <c r="U143" s="1">
        <v>39543848</v>
      </c>
      <c r="V143" s="1">
        <v>2018</v>
      </c>
      <c r="W143" s="8">
        <v>15154224</v>
      </c>
      <c r="X143" s="1">
        <v>0.625</v>
      </c>
      <c r="Y143" s="1">
        <v>1</v>
      </c>
      <c r="Z143" s="1">
        <v>0</v>
      </c>
      <c r="AA143" s="1">
        <v>177200000</v>
      </c>
      <c r="AB143" s="1">
        <v>0.14516182844243791</v>
      </c>
      <c r="AC143" s="1">
        <v>1.1759097065462755E-2</v>
      </c>
      <c r="AD143" s="1">
        <v>0.11596950902934537</v>
      </c>
      <c r="AE143" s="1">
        <v>7.5482917607223476E-2</v>
      </c>
      <c r="AF143" s="2">
        <f t="shared" si="35"/>
        <v>0.19145242663656886</v>
      </c>
      <c r="AG143" s="2">
        <f>AF143+AC143</f>
        <v>0.2032115237020316</v>
      </c>
      <c r="AH143" s="1">
        <v>0.14164145033860046</v>
      </c>
      <c r="AI143" s="2">
        <f t="shared" si="36"/>
        <v>0.34837335214446952</v>
      </c>
      <c r="AJ143" s="1">
        <v>6.4369621896162535E-2</v>
      </c>
      <c r="AK143" s="1">
        <v>7.0646557562076745E-2</v>
      </c>
      <c r="AL143" s="4">
        <f t="shared" si="37"/>
        <v>0.13501617945823929</v>
      </c>
      <c r="AM143" s="1">
        <v>2.1722449209932281E-2</v>
      </c>
      <c r="AN143" s="4">
        <f t="shared" si="38"/>
        <v>0.15673862866817156</v>
      </c>
      <c r="AO143" s="1">
        <v>3.6466303611738152E-2</v>
      </c>
      <c r="AP143" s="1">
        <v>2.9954480812641085E-2</v>
      </c>
      <c r="AQ143" s="4">
        <f t="shared" si="39"/>
        <v>6.6420784424379237E-2</v>
      </c>
      <c r="AR143" s="1">
        <v>0.2231594130925508</v>
      </c>
      <c r="AS143" s="1">
        <v>0.49001480248307</v>
      </c>
      <c r="AT143" s="1">
        <v>0.28682578442437923</v>
      </c>
      <c r="AU143" s="1">
        <f t="shared" si="40"/>
        <v>8.5520451467268624E-2</v>
      </c>
      <c r="AV143" s="1">
        <v>10</v>
      </c>
      <c r="AW143">
        <v>433</v>
      </c>
      <c r="AX143">
        <v>344</v>
      </c>
      <c r="AY143" s="6">
        <v>5</v>
      </c>
      <c r="AZ143" s="6">
        <v>10</v>
      </c>
      <c r="BA143" s="11">
        <f t="shared" si="41"/>
        <v>27.0625</v>
      </c>
      <c r="BB143">
        <f t="shared" si="42"/>
        <v>21.5</v>
      </c>
      <c r="BC143">
        <f t="shared" si="43"/>
        <v>89</v>
      </c>
      <c r="BD143">
        <f t="shared" si="44"/>
        <v>5.5625</v>
      </c>
      <c r="BE143" s="10">
        <v>10.647350771643699</v>
      </c>
      <c r="BF143" s="6">
        <v>25.731339999999999</v>
      </c>
      <c r="BG143" s="6">
        <v>27.860140000000001</v>
      </c>
      <c r="BH143" s="6">
        <v>0.660833</v>
      </c>
      <c r="BI143" s="6">
        <v>0.46268700000000001</v>
      </c>
      <c r="BJ143" s="6"/>
      <c r="BK143" s="6" t="s">
        <v>80</v>
      </c>
      <c r="BL143" s="6" t="s">
        <v>96</v>
      </c>
      <c r="BM143" s="6" t="s">
        <v>164</v>
      </c>
      <c r="BN143" s="6" t="s">
        <v>93</v>
      </c>
    </row>
    <row r="144" spans="1:80">
      <c r="A144" s="1" t="s">
        <v>254</v>
      </c>
      <c r="B144" s="1">
        <v>2018</v>
      </c>
      <c r="C144" s="1" t="s">
        <v>108</v>
      </c>
      <c r="D144" s="1">
        <v>10786333</v>
      </c>
      <c r="E144" s="1">
        <v>12425774</v>
      </c>
      <c r="F144" s="1">
        <v>17287457</v>
      </c>
      <c r="G144" s="1">
        <v>4822038</v>
      </c>
      <c r="H144" s="2">
        <f t="shared" si="30"/>
        <v>22109495</v>
      </c>
      <c r="I144" s="2">
        <f>H144+E144</f>
        <v>34535269</v>
      </c>
      <c r="J144" s="1">
        <v>28024882</v>
      </c>
      <c r="K144" s="2">
        <f t="shared" si="31"/>
        <v>45321602</v>
      </c>
      <c r="L144" s="1">
        <v>73346484</v>
      </c>
      <c r="M144" s="1">
        <v>49441021</v>
      </c>
      <c r="N144" s="1">
        <v>1915141</v>
      </c>
      <c r="O144" s="4">
        <f t="shared" si="32"/>
        <v>51356162</v>
      </c>
      <c r="P144" s="1">
        <v>11985485</v>
      </c>
      <c r="Q144" s="4">
        <f t="shared" si="33"/>
        <v>63341647</v>
      </c>
      <c r="R144" s="1">
        <v>11226426</v>
      </c>
      <c r="S144" s="1">
        <v>27090280</v>
      </c>
      <c r="T144" s="4">
        <f t="shared" si="34"/>
        <v>38316706</v>
      </c>
      <c r="U144" s="1">
        <v>101658353</v>
      </c>
      <c r="V144" s="1">
        <v>2018</v>
      </c>
      <c r="W144" s="8">
        <v>36989794</v>
      </c>
      <c r="X144" s="1">
        <v>0.313</v>
      </c>
      <c r="Y144" s="1">
        <v>0</v>
      </c>
      <c r="Z144" s="1">
        <v>0</v>
      </c>
      <c r="AA144" s="1">
        <v>177200000</v>
      </c>
      <c r="AB144" s="1">
        <v>6.0870953724604965E-2</v>
      </c>
      <c r="AC144" s="1">
        <v>7.0122878103837466E-2</v>
      </c>
      <c r="AD144" s="1">
        <v>9.7559012415349894E-2</v>
      </c>
      <c r="AE144" s="1">
        <v>2.7212404063205419E-2</v>
      </c>
      <c r="AF144" s="2">
        <f t="shared" si="35"/>
        <v>0.12477141647855532</v>
      </c>
      <c r="AG144" s="2">
        <f>AF144+AC144</f>
        <v>0.19489429458239277</v>
      </c>
      <c r="AH144" s="1">
        <v>0.15815396162528217</v>
      </c>
      <c r="AI144" s="2">
        <f t="shared" si="36"/>
        <v>0.25576524830699776</v>
      </c>
      <c r="AJ144" s="1">
        <v>0.27901253386004515</v>
      </c>
      <c r="AK144" s="1">
        <v>1.0807793453724604E-2</v>
      </c>
      <c r="AL144" s="4">
        <f t="shared" si="37"/>
        <v>0.28982032731376978</v>
      </c>
      <c r="AM144" s="1">
        <v>6.7638177200902941E-2</v>
      </c>
      <c r="AN144" s="4">
        <f t="shared" si="38"/>
        <v>0.3574585045146727</v>
      </c>
      <c r="AO144" s="1">
        <v>6.3354548532731383E-2</v>
      </c>
      <c r="AP144" s="1">
        <v>0.15287968397291196</v>
      </c>
      <c r="AQ144" s="4">
        <f t="shared" si="39"/>
        <v>0.21623423250564333</v>
      </c>
      <c r="AR144" s="1">
        <v>0.57369273702031598</v>
      </c>
      <c r="AS144" s="1">
        <v>0.41391920993227993</v>
      </c>
      <c r="AT144" s="1">
        <v>1.2388053047404091E-2</v>
      </c>
      <c r="AU144" s="1">
        <f t="shared" si="40"/>
        <v>0.20874601580135441</v>
      </c>
      <c r="AV144" s="1">
        <v>5</v>
      </c>
      <c r="AW144">
        <v>245</v>
      </c>
      <c r="AX144">
        <v>316</v>
      </c>
      <c r="AY144" s="6">
        <v>31</v>
      </c>
      <c r="AZ144" s="6">
        <v>4</v>
      </c>
      <c r="BA144" s="11">
        <f t="shared" si="41"/>
        <v>15.3125</v>
      </c>
      <c r="BB144">
        <f t="shared" si="42"/>
        <v>19.75</v>
      </c>
      <c r="BC144">
        <f t="shared" si="43"/>
        <v>-71</v>
      </c>
      <c r="BD144">
        <f t="shared" si="44"/>
        <v>-4.4375</v>
      </c>
      <c r="BE144" s="10">
        <v>6.0004280360992697</v>
      </c>
      <c r="BF144" s="6">
        <v>25.608699999999999</v>
      </c>
      <c r="BG144" s="6">
        <v>27.087119999999999</v>
      </c>
      <c r="BH144" s="6">
        <v>0.65778300000000001</v>
      </c>
      <c r="BI144" s="6">
        <v>0.59420300000000004</v>
      </c>
      <c r="BJ144" s="6"/>
      <c r="BK144" s="6" t="s">
        <v>73</v>
      </c>
      <c r="BL144" s="6" t="s">
        <v>96</v>
      </c>
      <c r="BM144" s="6" t="s">
        <v>93</v>
      </c>
      <c r="BN144" s="6" t="s">
        <v>93</v>
      </c>
    </row>
    <row r="145" spans="1:66">
      <c r="A145" s="1" t="s">
        <v>255</v>
      </c>
      <c r="B145" s="1">
        <v>2018</v>
      </c>
      <c r="C145" s="1" t="s">
        <v>110</v>
      </c>
      <c r="D145" s="1">
        <v>6462373</v>
      </c>
      <c r="E145" s="1">
        <v>3839568</v>
      </c>
      <c r="F145" s="1">
        <v>13410657</v>
      </c>
      <c r="G145" s="1">
        <v>12846159</v>
      </c>
      <c r="H145" s="2">
        <f t="shared" si="30"/>
        <v>26256816</v>
      </c>
      <c r="I145" s="2">
        <f>H145+E145</f>
        <v>30096384</v>
      </c>
      <c r="J145" s="1">
        <v>35054355</v>
      </c>
      <c r="K145" s="2">
        <f t="shared" si="31"/>
        <v>36558757</v>
      </c>
      <c r="L145" s="1">
        <v>71613112</v>
      </c>
      <c r="M145" s="1">
        <v>13806414</v>
      </c>
      <c r="N145" s="1">
        <v>30874001</v>
      </c>
      <c r="O145" s="4">
        <f t="shared" si="32"/>
        <v>44680415</v>
      </c>
      <c r="P145" s="1">
        <v>6439413</v>
      </c>
      <c r="Q145" s="4">
        <f t="shared" si="33"/>
        <v>51119828</v>
      </c>
      <c r="R145" s="1">
        <v>20988021</v>
      </c>
      <c r="S145" s="1">
        <v>5449388</v>
      </c>
      <c r="T145" s="4">
        <f t="shared" si="34"/>
        <v>26437409</v>
      </c>
      <c r="U145" s="1">
        <v>77557237</v>
      </c>
      <c r="V145" s="1">
        <v>2018</v>
      </c>
      <c r="W145" s="8">
        <v>10074475</v>
      </c>
      <c r="X145" s="1">
        <v>0.75</v>
      </c>
      <c r="Y145" s="1">
        <v>1</v>
      </c>
      <c r="Z145" s="1">
        <v>0</v>
      </c>
      <c r="AA145" s="1">
        <v>177200000</v>
      </c>
      <c r="AB145" s="1">
        <v>3.6469373589164786E-2</v>
      </c>
      <c r="AC145" s="1">
        <v>2.1667990970654628E-2</v>
      </c>
      <c r="AD145" s="1">
        <v>7.5680908577878098E-2</v>
      </c>
      <c r="AE145" s="1">
        <v>7.2495253950338595E-2</v>
      </c>
      <c r="AF145" s="2">
        <f t="shared" si="35"/>
        <v>0.14817616252821669</v>
      </c>
      <c r="AG145" s="2">
        <f>AF145+AC145</f>
        <v>0.16984415349887133</v>
      </c>
      <c r="AH145" s="1">
        <v>0.19782367381489843</v>
      </c>
      <c r="AI145" s="2">
        <f t="shared" si="36"/>
        <v>0.2063135270880361</v>
      </c>
      <c r="AJ145" s="1">
        <v>7.7914300225733632E-2</v>
      </c>
      <c r="AK145" s="1">
        <v>0.17423251128668171</v>
      </c>
      <c r="AL145" s="4">
        <f t="shared" si="37"/>
        <v>0.25214681151241536</v>
      </c>
      <c r="AM145" s="1">
        <v>3.6339802483069977E-2</v>
      </c>
      <c r="AN145" s="4">
        <f t="shared" si="38"/>
        <v>0.28848661399548536</v>
      </c>
      <c r="AO145" s="1">
        <v>0.11844255643340858</v>
      </c>
      <c r="AP145" s="1">
        <v>3.07527539503386E-2</v>
      </c>
      <c r="AQ145" s="4">
        <f t="shared" si="39"/>
        <v>0.14919531038374717</v>
      </c>
      <c r="AR145" s="1">
        <v>0.43768192437923248</v>
      </c>
      <c r="AS145" s="1">
        <v>0.40413720090293453</v>
      </c>
      <c r="AT145" s="1">
        <v>0.15818087471783304</v>
      </c>
      <c r="AU145" s="1">
        <f t="shared" si="40"/>
        <v>5.6853696388261848E-2</v>
      </c>
      <c r="AV145" s="1">
        <v>12</v>
      </c>
      <c r="AW145">
        <v>565</v>
      </c>
      <c r="AX145">
        <v>421</v>
      </c>
      <c r="AY145" s="6">
        <v>1</v>
      </c>
      <c r="AZ145" s="6">
        <v>24</v>
      </c>
      <c r="BA145" s="11">
        <f t="shared" si="41"/>
        <v>35.3125</v>
      </c>
      <c r="BB145">
        <f t="shared" si="42"/>
        <v>26.3125</v>
      </c>
      <c r="BC145">
        <f t="shared" si="43"/>
        <v>144</v>
      </c>
      <c r="BD145">
        <f t="shared" si="44"/>
        <v>9</v>
      </c>
      <c r="BE145" s="10">
        <v>12.2447304619871</v>
      </c>
      <c r="BF145" s="6">
        <v>25.790320000000001</v>
      </c>
      <c r="BG145" s="6">
        <v>27.426500000000001</v>
      </c>
      <c r="BH145" s="6">
        <v>0.63684099999999999</v>
      </c>
      <c r="BI145" s="6">
        <v>0.52381</v>
      </c>
      <c r="BJ145" s="6"/>
      <c r="BK145" s="6" t="s">
        <v>73</v>
      </c>
      <c r="BL145" s="6" t="s">
        <v>96</v>
      </c>
      <c r="BM145" s="6" t="s">
        <v>93</v>
      </c>
      <c r="BN145" s="6" t="s">
        <v>93</v>
      </c>
    </row>
    <row r="146" spans="1:66">
      <c r="A146" s="1" t="s">
        <v>256</v>
      </c>
      <c r="B146" s="1">
        <v>2018</v>
      </c>
      <c r="C146" s="1" t="s">
        <v>114</v>
      </c>
      <c r="D146" s="1">
        <v>23129200</v>
      </c>
      <c r="E146" s="1">
        <v>4755413</v>
      </c>
      <c r="F146" s="1">
        <v>25433190</v>
      </c>
      <c r="G146" s="1">
        <v>7068484</v>
      </c>
      <c r="H146" s="2">
        <f t="shared" si="30"/>
        <v>32501674</v>
      </c>
      <c r="I146" s="2">
        <f>H146+E146</f>
        <v>37257087</v>
      </c>
      <c r="J146" s="1">
        <v>27984393</v>
      </c>
      <c r="K146" s="2">
        <f t="shared" si="31"/>
        <v>60386287</v>
      </c>
      <c r="L146" s="1">
        <v>88370680</v>
      </c>
      <c r="M146" s="1">
        <v>14590006</v>
      </c>
      <c r="N146" s="1">
        <v>22744570</v>
      </c>
      <c r="O146" s="4">
        <f t="shared" si="32"/>
        <v>37334576</v>
      </c>
      <c r="P146" s="1">
        <v>6339835</v>
      </c>
      <c r="Q146" s="4">
        <f t="shared" si="33"/>
        <v>43674411</v>
      </c>
      <c r="R146" s="1">
        <v>10693090</v>
      </c>
      <c r="S146" s="1">
        <v>17921985</v>
      </c>
      <c r="T146" s="4">
        <f t="shared" si="34"/>
        <v>28615075</v>
      </c>
      <c r="U146" s="1">
        <v>72289486</v>
      </c>
      <c r="V146" s="1">
        <v>2018</v>
      </c>
      <c r="W146" s="8">
        <v>17446005</v>
      </c>
      <c r="X146" s="1">
        <v>0.75</v>
      </c>
      <c r="Y146" s="1">
        <v>1</v>
      </c>
      <c r="Z146" s="1">
        <v>0</v>
      </c>
      <c r="AA146" s="1">
        <v>177200000</v>
      </c>
      <c r="AB146" s="1">
        <v>0.13052595936794584</v>
      </c>
      <c r="AC146" s="1">
        <v>2.6836416478555305E-2</v>
      </c>
      <c r="AD146" s="1">
        <v>0.14352816027088036</v>
      </c>
      <c r="AE146" s="1">
        <v>3.988986455981941E-2</v>
      </c>
      <c r="AF146" s="2">
        <f t="shared" si="35"/>
        <v>0.18341802483069977</v>
      </c>
      <c r="AG146" s="2">
        <f>AF146+AC146</f>
        <v>0.21025444130925508</v>
      </c>
      <c r="AH146" s="1">
        <v>0.15792546839729119</v>
      </c>
      <c r="AI146" s="2">
        <f t="shared" si="36"/>
        <v>0.34078040067720089</v>
      </c>
      <c r="AJ146" s="1">
        <v>8.2336376975169295E-2</v>
      </c>
      <c r="AK146" s="1">
        <v>0.12835536117381491</v>
      </c>
      <c r="AL146" s="4">
        <f t="shared" si="37"/>
        <v>0.2106917381489842</v>
      </c>
      <c r="AM146" s="1">
        <v>3.577784988713318E-2</v>
      </c>
      <c r="AN146" s="4">
        <f t="shared" si="38"/>
        <v>0.24646958803611738</v>
      </c>
      <c r="AO146" s="1">
        <v>6.0344751693002255E-2</v>
      </c>
      <c r="AP146" s="1">
        <v>0.10113987020316027</v>
      </c>
      <c r="AQ146" s="4">
        <f t="shared" si="39"/>
        <v>0.16148462189616253</v>
      </c>
      <c r="AR146" s="1">
        <v>0.40795420993227993</v>
      </c>
      <c r="AS146" s="1">
        <v>0.4987058690744921</v>
      </c>
      <c r="AT146" s="1">
        <v>9.3339920993227965E-2</v>
      </c>
      <c r="AU146" s="1">
        <f t="shared" si="40"/>
        <v>9.8453752821670432E-2</v>
      </c>
      <c r="AV146" s="1">
        <v>12</v>
      </c>
      <c r="AW146">
        <v>428</v>
      </c>
      <c r="AX146">
        <v>329</v>
      </c>
      <c r="AY146" s="6">
        <v>6</v>
      </c>
      <c r="AZ146" s="6">
        <v>8</v>
      </c>
      <c r="BA146" s="11">
        <f t="shared" si="41"/>
        <v>26.75</v>
      </c>
      <c r="BB146">
        <f t="shared" si="42"/>
        <v>20.5625</v>
      </c>
      <c r="BC146">
        <f t="shared" si="43"/>
        <v>99</v>
      </c>
      <c r="BD146">
        <f t="shared" si="44"/>
        <v>6.1875</v>
      </c>
      <c r="BE146" s="10">
        <v>10.937783442615199</v>
      </c>
      <c r="BF146" s="6">
        <v>26.080649999999999</v>
      </c>
      <c r="BG146" s="6">
        <v>28.80883</v>
      </c>
      <c r="BH146" s="6">
        <v>0.64239000000000002</v>
      </c>
      <c r="BI146" s="6">
        <v>0.59677400000000003</v>
      </c>
      <c r="BJ146" s="6"/>
      <c r="BK146" s="6" t="s">
        <v>67</v>
      </c>
      <c r="BL146" s="6" t="s">
        <v>96</v>
      </c>
      <c r="BM146" s="6" t="s">
        <v>70</v>
      </c>
      <c r="BN146" s="6" t="s">
        <v>70</v>
      </c>
    </row>
    <row r="147" spans="1:66">
      <c r="A147" s="1" t="s">
        <v>257</v>
      </c>
      <c r="B147" s="1">
        <v>2018</v>
      </c>
      <c r="C147" s="1" t="s">
        <v>116</v>
      </c>
      <c r="D147" s="1">
        <v>8767592</v>
      </c>
      <c r="E147" s="1">
        <v>9038320</v>
      </c>
      <c r="F147" s="1">
        <v>14151679</v>
      </c>
      <c r="G147" s="1">
        <v>2758153</v>
      </c>
      <c r="H147" s="2">
        <f t="shared" si="30"/>
        <v>16909832</v>
      </c>
      <c r="I147" s="2">
        <f>H147+E147</f>
        <v>25948152</v>
      </c>
      <c r="J147" s="1">
        <v>27763882</v>
      </c>
      <c r="K147" s="2">
        <f t="shared" si="31"/>
        <v>34715744</v>
      </c>
      <c r="L147" s="1">
        <v>62479626</v>
      </c>
      <c r="M147" s="1">
        <v>39110096</v>
      </c>
      <c r="N147" s="1">
        <v>5284312</v>
      </c>
      <c r="O147" s="4">
        <f t="shared" si="32"/>
        <v>44394408</v>
      </c>
      <c r="P147" s="1">
        <v>10912796</v>
      </c>
      <c r="Q147" s="4">
        <f t="shared" si="33"/>
        <v>55307204</v>
      </c>
      <c r="R147" s="1">
        <v>13578223</v>
      </c>
      <c r="S147" s="1">
        <v>20726753</v>
      </c>
      <c r="T147" s="4">
        <f t="shared" si="34"/>
        <v>34304976</v>
      </c>
      <c r="U147" s="1">
        <v>89612180</v>
      </c>
      <c r="V147" s="1">
        <v>2018</v>
      </c>
      <c r="W147" s="8">
        <v>4444733</v>
      </c>
      <c r="X147" s="1">
        <v>0.81299999999999994</v>
      </c>
      <c r="Y147" s="1">
        <v>1</v>
      </c>
      <c r="Z147" s="1">
        <v>0</v>
      </c>
      <c r="AA147" s="1">
        <v>177200000</v>
      </c>
      <c r="AB147" s="1">
        <v>4.9478510158013543E-2</v>
      </c>
      <c r="AC147" s="1">
        <v>5.100632054176072E-2</v>
      </c>
      <c r="AD147" s="1">
        <v>7.9862748306997744E-2</v>
      </c>
      <c r="AE147" s="1">
        <v>1.5565197516930022E-2</v>
      </c>
      <c r="AF147" s="2">
        <f t="shared" si="35"/>
        <v>9.5427945823927773E-2</v>
      </c>
      <c r="AG147" s="2">
        <f>AF147+AC147</f>
        <v>0.14643426636568849</v>
      </c>
      <c r="AH147" s="1">
        <v>0.15668104966139954</v>
      </c>
      <c r="AI147" s="2">
        <f t="shared" si="36"/>
        <v>0.19591277652370204</v>
      </c>
      <c r="AJ147" s="1">
        <v>0.22071160270880361</v>
      </c>
      <c r="AK147" s="1">
        <v>2.9821173814898419E-2</v>
      </c>
      <c r="AL147" s="4">
        <f t="shared" si="37"/>
        <v>0.25053277652370204</v>
      </c>
      <c r="AM147" s="1">
        <v>6.1584627539503389E-2</v>
      </c>
      <c r="AN147" s="4">
        <f t="shared" si="38"/>
        <v>0.31211740406320543</v>
      </c>
      <c r="AO147" s="1">
        <v>7.662654063205418E-2</v>
      </c>
      <c r="AP147" s="1">
        <v>0.11696813205417607</v>
      </c>
      <c r="AQ147" s="4">
        <f t="shared" si="39"/>
        <v>0.19359467268623026</v>
      </c>
      <c r="AR147" s="1">
        <v>0.50571207674943564</v>
      </c>
      <c r="AS147" s="1">
        <v>0.3525938261851016</v>
      </c>
      <c r="AT147" s="1">
        <v>0.14169409706546277</v>
      </c>
      <c r="AU147" s="1">
        <f t="shared" si="40"/>
        <v>2.5083143340857789E-2</v>
      </c>
      <c r="AV147" s="1">
        <v>13</v>
      </c>
      <c r="AW147">
        <v>527</v>
      </c>
      <c r="AX147">
        <v>384</v>
      </c>
      <c r="AY147" s="6">
        <v>2</v>
      </c>
      <c r="AZ147" s="6">
        <v>20</v>
      </c>
      <c r="BA147" s="11">
        <f t="shared" si="41"/>
        <v>32.9375</v>
      </c>
      <c r="BB147">
        <f t="shared" si="42"/>
        <v>24</v>
      </c>
      <c r="BC147">
        <f t="shared" si="43"/>
        <v>143</v>
      </c>
      <c r="BD147">
        <f t="shared" si="44"/>
        <v>8.9375</v>
      </c>
      <c r="BE147" s="10">
        <v>12.215687194889901</v>
      </c>
      <c r="BF147" s="6">
        <v>25.704920000000001</v>
      </c>
      <c r="BG147" s="6">
        <v>28.28012</v>
      </c>
      <c r="BH147" s="6">
        <v>0.62062499999999998</v>
      </c>
      <c r="BI147" s="6">
        <v>0.62295100000000003</v>
      </c>
      <c r="BJ147" s="6"/>
      <c r="BK147" s="6" t="s">
        <v>80</v>
      </c>
      <c r="BL147" s="6" t="s">
        <v>68</v>
      </c>
      <c r="BM147" s="6" t="s">
        <v>92</v>
      </c>
      <c r="BN147" s="6" t="s">
        <v>70</v>
      </c>
    </row>
    <row r="148" spans="1:66">
      <c r="A148" s="1" t="s">
        <v>258</v>
      </c>
      <c r="B148" s="1">
        <v>2018</v>
      </c>
      <c r="C148" s="1" t="s">
        <v>118</v>
      </c>
      <c r="D148" s="1">
        <v>10507195</v>
      </c>
      <c r="E148" s="1">
        <v>4122610</v>
      </c>
      <c r="F148" s="1">
        <v>25766603</v>
      </c>
      <c r="G148" s="1">
        <v>4425226</v>
      </c>
      <c r="H148" s="2">
        <f t="shared" si="30"/>
        <v>30191829</v>
      </c>
      <c r="I148" s="2">
        <f>H148+E148</f>
        <v>34314439</v>
      </c>
      <c r="J148" s="1">
        <v>30559407</v>
      </c>
      <c r="K148" s="2">
        <f t="shared" si="31"/>
        <v>44821634</v>
      </c>
      <c r="L148" s="1">
        <v>75381041</v>
      </c>
      <c r="M148" s="1">
        <v>5156706</v>
      </c>
      <c r="N148" s="1">
        <v>38276611</v>
      </c>
      <c r="O148" s="4">
        <f t="shared" si="32"/>
        <v>43433317</v>
      </c>
      <c r="P148" s="1">
        <v>14286351</v>
      </c>
      <c r="Q148" s="4">
        <f t="shared" si="33"/>
        <v>57719668</v>
      </c>
      <c r="R148" s="1">
        <v>13320269</v>
      </c>
      <c r="S148" s="1">
        <v>3678898</v>
      </c>
      <c r="T148" s="4">
        <f t="shared" si="34"/>
        <v>16999167</v>
      </c>
      <c r="U148" s="1">
        <v>74718835</v>
      </c>
      <c r="V148" s="1">
        <v>2018</v>
      </c>
      <c r="W148" s="8">
        <v>26658499</v>
      </c>
      <c r="X148" s="1">
        <v>0.438</v>
      </c>
      <c r="Y148" s="1">
        <v>0</v>
      </c>
      <c r="Z148" s="1">
        <v>0</v>
      </c>
      <c r="AA148" s="1">
        <v>177200000</v>
      </c>
      <c r="AB148" s="1">
        <v>5.9295682844243795E-2</v>
      </c>
      <c r="AC148" s="1">
        <v>2.3265293453724606E-2</v>
      </c>
      <c r="AD148" s="1">
        <v>0.14540972347629796</v>
      </c>
      <c r="AE148" s="1">
        <v>2.4973058690744922E-2</v>
      </c>
      <c r="AF148" s="2">
        <f t="shared" si="35"/>
        <v>0.17038278216704289</v>
      </c>
      <c r="AG148" s="2">
        <f>AF148+AC148</f>
        <v>0.1936480756207675</v>
      </c>
      <c r="AH148" s="1">
        <v>0.17245715011286683</v>
      </c>
      <c r="AI148" s="2">
        <f t="shared" si="36"/>
        <v>0.25294375846501127</v>
      </c>
      <c r="AJ148" s="1">
        <v>2.910104966139955E-2</v>
      </c>
      <c r="AK148" s="1">
        <v>0.21600796275395034</v>
      </c>
      <c r="AL148" s="4">
        <f t="shared" si="37"/>
        <v>0.24510901241534988</v>
      </c>
      <c r="AM148" s="1">
        <v>8.0622748306997741E-2</v>
      </c>
      <c r="AN148" s="4">
        <f t="shared" si="38"/>
        <v>0.32573176072234761</v>
      </c>
      <c r="AO148" s="1">
        <v>7.5170818284424373E-2</v>
      </c>
      <c r="AP148" s="1">
        <v>2.0761275395033859E-2</v>
      </c>
      <c r="AQ148" s="4">
        <f t="shared" si="39"/>
        <v>9.5932093679458236E-2</v>
      </c>
      <c r="AR148" s="1">
        <v>0.42166385440180587</v>
      </c>
      <c r="AS148" s="1">
        <v>0.4254009085778781</v>
      </c>
      <c r="AT148" s="1">
        <v>0.15293523702031608</v>
      </c>
      <c r="AU148" s="1">
        <f t="shared" si="40"/>
        <v>0.15044299661399549</v>
      </c>
      <c r="AV148" s="1">
        <v>7</v>
      </c>
      <c r="AW148">
        <v>319</v>
      </c>
      <c r="AX148">
        <v>433</v>
      </c>
      <c r="AY148" s="6">
        <v>26</v>
      </c>
      <c r="AZ148" s="6">
        <v>27</v>
      </c>
      <c r="BA148" s="11">
        <f t="shared" si="41"/>
        <v>19.9375</v>
      </c>
      <c r="BB148">
        <f t="shared" si="42"/>
        <v>27.0625</v>
      </c>
      <c r="BC148">
        <f t="shared" si="43"/>
        <v>-114</v>
      </c>
      <c r="BD148">
        <f t="shared" si="44"/>
        <v>-7.125</v>
      </c>
      <c r="BE148" s="10">
        <v>4.7515675509217203</v>
      </c>
      <c r="BF148" s="6">
        <v>26.66667</v>
      </c>
      <c r="BG148" s="6">
        <v>28.331029999999998</v>
      </c>
      <c r="BH148" s="6">
        <v>0.60355800000000004</v>
      </c>
      <c r="BI148" s="6">
        <v>0.56060600000000005</v>
      </c>
      <c r="BJ148" s="6"/>
      <c r="BK148" s="6" t="s">
        <v>80</v>
      </c>
      <c r="BL148" s="6" t="s">
        <v>68</v>
      </c>
      <c r="BM148" s="6" t="s">
        <v>92</v>
      </c>
      <c r="BN148" s="6" t="s">
        <v>70</v>
      </c>
    </row>
    <row r="149" spans="1:66">
      <c r="A149" s="1" t="s">
        <v>259</v>
      </c>
      <c r="B149" s="1">
        <v>2018</v>
      </c>
      <c r="C149" s="1" t="s">
        <v>120</v>
      </c>
      <c r="D149" s="1">
        <v>26462000</v>
      </c>
      <c r="E149" s="1">
        <v>8510220</v>
      </c>
      <c r="F149" s="1">
        <v>15333845</v>
      </c>
      <c r="G149" s="1">
        <v>9592122</v>
      </c>
      <c r="H149" s="2">
        <f t="shared" si="30"/>
        <v>24925967</v>
      </c>
      <c r="I149" s="2">
        <f>H149+E149</f>
        <v>33436187</v>
      </c>
      <c r="J149" s="1">
        <v>26668316</v>
      </c>
      <c r="K149" s="2">
        <f t="shared" si="31"/>
        <v>59898187</v>
      </c>
      <c r="L149" s="1">
        <v>86566503</v>
      </c>
      <c r="M149" s="1">
        <v>18526098</v>
      </c>
      <c r="N149" s="1">
        <v>18610741</v>
      </c>
      <c r="O149" s="4">
        <f t="shared" si="32"/>
        <v>37136839</v>
      </c>
      <c r="P149" s="1">
        <v>18490720</v>
      </c>
      <c r="Q149" s="4">
        <f t="shared" si="33"/>
        <v>55627559</v>
      </c>
      <c r="R149" s="1">
        <v>15731056</v>
      </c>
      <c r="S149" s="1">
        <v>22554099</v>
      </c>
      <c r="T149" s="4">
        <f t="shared" si="34"/>
        <v>38285155</v>
      </c>
      <c r="U149" s="1">
        <v>93912714</v>
      </c>
      <c r="V149" s="1">
        <v>2018</v>
      </c>
      <c r="W149" s="8">
        <v>10457434</v>
      </c>
      <c r="X149" s="1">
        <v>0.53100000000000003</v>
      </c>
      <c r="Y149" s="1">
        <v>0</v>
      </c>
      <c r="Z149" s="1">
        <v>0</v>
      </c>
      <c r="AA149" s="1">
        <v>177200000</v>
      </c>
      <c r="AB149" s="1">
        <v>0.14933408577878104</v>
      </c>
      <c r="AC149" s="1">
        <v>4.8026072234762983E-2</v>
      </c>
      <c r="AD149" s="1">
        <v>8.6534113995485329E-2</v>
      </c>
      <c r="AE149" s="1">
        <v>5.4131613995485328E-2</v>
      </c>
      <c r="AF149" s="2">
        <f t="shared" si="35"/>
        <v>0.14066572799097066</v>
      </c>
      <c r="AG149" s="2">
        <f>AF149+AC149</f>
        <v>0.18869180022573365</v>
      </c>
      <c r="AH149" s="1">
        <v>0.15049839729119638</v>
      </c>
      <c r="AI149" s="2">
        <f t="shared" si="36"/>
        <v>0.33802588600451472</v>
      </c>
      <c r="AJ149" s="1">
        <v>0.10454908577878104</v>
      </c>
      <c r="AK149" s="1">
        <v>0.10502675507900677</v>
      </c>
      <c r="AL149" s="4">
        <f t="shared" si="37"/>
        <v>0.2095758408577878</v>
      </c>
      <c r="AM149" s="1">
        <v>0.10434943566591422</v>
      </c>
      <c r="AN149" s="4">
        <f t="shared" si="38"/>
        <v>0.313925276523702</v>
      </c>
      <c r="AO149" s="1">
        <v>8.8775711060948087E-2</v>
      </c>
      <c r="AP149" s="1">
        <v>0.12728046839729121</v>
      </c>
      <c r="AQ149" s="4">
        <f t="shared" si="39"/>
        <v>0.21605617945823929</v>
      </c>
      <c r="AR149" s="1">
        <v>0.52998145598194135</v>
      </c>
      <c r="AS149" s="1">
        <v>0.48852428329571107</v>
      </c>
      <c r="AT149" s="1">
        <v>-1.8505739277652422E-2</v>
      </c>
      <c r="AU149" s="1">
        <f t="shared" si="40"/>
        <v>5.9014864559819413E-2</v>
      </c>
      <c r="AV149" s="1">
        <v>8</v>
      </c>
      <c r="AW149">
        <v>360</v>
      </c>
      <c r="AX149">
        <v>341</v>
      </c>
      <c r="AY149" s="6">
        <v>19</v>
      </c>
      <c r="AZ149" s="6">
        <v>9</v>
      </c>
      <c r="BA149" s="11">
        <f t="shared" si="41"/>
        <v>22.5</v>
      </c>
      <c r="BB149">
        <f t="shared" si="42"/>
        <v>21.3125</v>
      </c>
      <c r="BC149">
        <f t="shared" si="43"/>
        <v>19</v>
      </c>
      <c r="BD149">
        <f t="shared" si="44"/>
        <v>1.1875</v>
      </c>
      <c r="BE149" s="10">
        <v>8.6143220748429901</v>
      </c>
      <c r="BF149" s="6">
        <v>25.951609999999999</v>
      </c>
      <c r="BG149" s="6">
        <v>27.837900000000001</v>
      </c>
      <c r="BH149" s="6">
        <v>0.62582199999999999</v>
      </c>
      <c r="BI149" s="6">
        <v>0.59677400000000003</v>
      </c>
      <c r="BJ149" s="6"/>
      <c r="BK149" s="6" t="s">
        <v>80</v>
      </c>
      <c r="BL149" s="6" t="s">
        <v>96</v>
      </c>
      <c r="BM149" s="6" t="s">
        <v>164</v>
      </c>
      <c r="BN149" s="6" t="s">
        <v>93</v>
      </c>
    </row>
    <row r="150" spans="1:66">
      <c r="A150" s="1" t="s">
        <v>260</v>
      </c>
      <c r="B150" s="1">
        <v>2018</v>
      </c>
      <c r="C150" s="1" t="s">
        <v>122</v>
      </c>
      <c r="D150" s="1">
        <v>23044200</v>
      </c>
      <c r="E150" s="1">
        <v>7894058</v>
      </c>
      <c r="F150" s="1">
        <v>15575488</v>
      </c>
      <c r="G150" s="1">
        <v>16740476</v>
      </c>
      <c r="H150" s="2">
        <f t="shared" si="30"/>
        <v>32315964</v>
      </c>
      <c r="I150" s="2">
        <f>H150+E150</f>
        <v>40210022</v>
      </c>
      <c r="J150" s="1">
        <v>20349864</v>
      </c>
      <c r="K150" s="2">
        <f t="shared" si="31"/>
        <v>63254222</v>
      </c>
      <c r="L150" s="1">
        <v>83604086</v>
      </c>
      <c r="M150" s="1">
        <v>8841997</v>
      </c>
      <c r="N150" s="1">
        <v>12784037</v>
      </c>
      <c r="O150" s="4">
        <f t="shared" si="32"/>
        <v>21626034</v>
      </c>
      <c r="P150" s="1">
        <v>12418619</v>
      </c>
      <c r="Q150" s="4">
        <f t="shared" si="33"/>
        <v>34044653</v>
      </c>
      <c r="R150" s="1">
        <v>22783881</v>
      </c>
      <c r="S150" s="1">
        <v>15107401</v>
      </c>
      <c r="T150" s="4">
        <f t="shared" si="34"/>
        <v>37891282</v>
      </c>
      <c r="U150" s="1">
        <v>71935935</v>
      </c>
      <c r="V150" s="1">
        <v>2018</v>
      </c>
      <c r="W150" s="8">
        <v>9033524</v>
      </c>
      <c r="X150" s="1">
        <v>0.68799999999999994</v>
      </c>
      <c r="Y150" s="1">
        <v>1</v>
      </c>
      <c r="Z150" s="1">
        <v>1</v>
      </c>
      <c r="AA150" s="1">
        <v>177200000</v>
      </c>
      <c r="AB150" s="1">
        <v>0.13004627539503386</v>
      </c>
      <c r="AC150" s="1">
        <v>4.4548860045146729E-2</v>
      </c>
      <c r="AD150" s="1">
        <v>8.7897787810383751E-2</v>
      </c>
      <c r="AE150" s="1">
        <v>9.4472212189616253E-2</v>
      </c>
      <c r="AF150" s="2">
        <f t="shared" si="35"/>
        <v>0.18237</v>
      </c>
      <c r="AG150" s="2">
        <f>AF150+AC150</f>
        <v>0.22691886004514672</v>
      </c>
      <c r="AH150" s="1">
        <v>0.11484121896162529</v>
      </c>
      <c r="AI150" s="2">
        <f t="shared" si="36"/>
        <v>0.3569651354401806</v>
      </c>
      <c r="AJ150" s="1">
        <v>4.9898402934537248E-2</v>
      </c>
      <c r="AK150" s="1">
        <v>7.214467832957111E-2</v>
      </c>
      <c r="AL150" s="4">
        <f t="shared" si="37"/>
        <v>0.12204308126410836</v>
      </c>
      <c r="AM150" s="1">
        <v>7.0082500000000006E-2</v>
      </c>
      <c r="AN150" s="4">
        <f t="shared" si="38"/>
        <v>0.19212558126410836</v>
      </c>
      <c r="AO150" s="1">
        <v>0.12857720654627539</v>
      </c>
      <c r="AP150" s="1">
        <v>8.5256213318284424E-2</v>
      </c>
      <c r="AQ150" s="4">
        <f t="shared" si="39"/>
        <v>0.21383341986455981</v>
      </c>
      <c r="AR150" s="1">
        <v>0.40595900112866817</v>
      </c>
      <c r="AS150" s="1">
        <v>0.47180635440180585</v>
      </c>
      <c r="AT150" s="1">
        <v>0.12223464446952592</v>
      </c>
      <c r="AU150" s="1">
        <f t="shared" si="40"/>
        <v>5.0979255079006774E-2</v>
      </c>
      <c r="AV150" s="1">
        <v>11</v>
      </c>
      <c r="AW150">
        <v>436</v>
      </c>
      <c r="AX150">
        <v>325</v>
      </c>
      <c r="AY150" s="6">
        <v>4</v>
      </c>
      <c r="AZ150" s="6">
        <v>7</v>
      </c>
      <c r="BA150" s="11">
        <f t="shared" si="41"/>
        <v>27.25</v>
      </c>
      <c r="BB150">
        <f t="shared" si="42"/>
        <v>20.3125</v>
      </c>
      <c r="BC150">
        <f t="shared" si="43"/>
        <v>111</v>
      </c>
      <c r="BD150">
        <f t="shared" si="44"/>
        <v>6.9375</v>
      </c>
      <c r="BE150" s="10">
        <v>11.286302647781</v>
      </c>
      <c r="BF150" s="6">
        <v>27</v>
      </c>
      <c r="BG150" s="6">
        <v>29.942620000000002</v>
      </c>
      <c r="BH150" s="6">
        <v>0.55887900000000001</v>
      </c>
      <c r="BI150" s="6">
        <v>0.60317500000000002</v>
      </c>
      <c r="BJ150" s="6"/>
      <c r="BK150" s="6" t="s">
        <v>67</v>
      </c>
      <c r="BL150" s="6" t="s">
        <v>74</v>
      </c>
      <c r="BM150" s="6" t="s">
        <v>102</v>
      </c>
      <c r="BN150" s="6" t="s">
        <v>70</v>
      </c>
    </row>
    <row r="151" spans="1:66">
      <c r="A151" s="1" t="s">
        <v>261</v>
      </c>
      <c r="B151" s="1">
        <v>2018</v>
      </c>
      <c r="C151" s="1" t="s">
        <v>124</v>
      </c>
      <c r="D151" s="1">
        <v>26852600</v>
      </c>
      <c r="E151" s="1">
        <v>7093841</v>
      </c>
      <c r="F151" s="1">
        <v>12859196</v>
      </c>
      <c r="G151" s="1">
        <v>7775068</v>
      </c>
      <c r="H151" s="2">
        <f t="shared" si="30"/>
        <v>20634264</v>
      </c>
      <c r="I151" s="2">
        <f>H151+E151</f>
        <v>27728105</v>
      </c>
      <c r="J151" s="1">
        <v>35725330</v>
      </c>
      <c r="K151" s="2">
        <f t="shared" si="31"/>
        <v>54580705</v>
      </c>
      <c r="L151" s="1">
        <v>90306035</v>
      </c>
      <c r="M151" s="1">
        <v>7215630</v>
      </c>
      <c r="N151" s="1">
        <v>20379299</v>
      </c>
      <c r="O151" s="4">
        <f t="shared" si="32"/>
        <v>27594929</v>
      </c>
      <c r="P151" s="1">
        <v>14765854</v>
      </c>
      <c r="Q151" s="4">
        <f t="shared" si="33"/>
        <v>42360783</v>
      </c>
      <c r="R151" s="1">
        <v>7798629</v>
      </c>
      <c r="S151" s="1">
        <v>8475586</v>
      </c>
      <c r="T151" s="4">
        <f t="shared" si="34"/>
        <v>16274215</v>
      </c>
      <c r="U151" s="1">
        <v>58634998</v>
      </c>
      <c r="V151" s="1">
        <v>2018</v>
      </c>
      <c r="W151" s="8">
        <v>14192161</v>
      </c>
      <c r="X151" s="1">
        <v>0.81299999999999994</v>
      </c>
      <c r="Y151" s="1">
        <v>1</v>
      </c>
      <c r="Z151" s="1">
        <v>0</v>
      </c>
      <c r="AA151" s="1">
        <v>177200000</v>
      </c>
      <c r="AB151" s="1">
        <v>0.15153837471783296</v>
      </c>
      <c r="AC151" s="1">
        <v>4.0032962753950338E-2</v>
      </c>
      <c r="AD151" s="1">
        <v>7.2568826185101576E-2</v>
      </c>
      <c r="AE151" s="1">
        <v>4.3877358916478558E-2</v>
      </c>
      <c r="AF151" s="2">
        <f t="shared" si="35"/>
        <v>0.11644618510158014</v>
      </c>
      <c r="AG151" s="2">
        <f>AF151+AC151</f>
        <v>0.15647914785553046</v>
      </c>
      <c r="AH151" s="1">
        <v>0.2016102144469526</v>
      </c>
      <c r="AI151" s="2">
        <f t="shared" si="36"/>
        <v>0.3080175225733634</v>
      </c>
      <c r="AJ151" s="1">
        <v>4.0720259593679461E-2</v>
      </c>
      <c r="AK151" s="1">
        <v>0.11500733069977427</v>
      </c>
      <c r="AL151" s="4">
        <f t="shared" si="37"/>
        <v>0.15572759029345373</v>
      </c>
      <c r="AM151" s="1">
        <v>8.3328747178329568E-2</v>
      </c>
      <c r="AN151" s="4">
        <f t="shared" si="38"/>
        <v>0.23905633747178329</v>
      </c>
      <c r="AO151" s="1">
        <v>4.4010321670428891E-2</v>
      </c>
      <c r="AP151" s="1">
        <v>4.7830620767494357E-2</v>
      </c>
      <c r="AQ151" s="4">
        <f t="shared" si="39"/>
        <v>9.1840942437923248E-2</v>
      </c>
      <c r="AR151" s="1">
        <v>0.33089727990970652</v>
      </c>
      <c r="AS151" s="1">
        <v>0.50962773702031605</v>
      </c>
      <c r="AT151" s="1">
        <v>0.15947498306997743</v>
      </c>
      <c r="AU151" s="1">
        <f t="shared" si="40"/>
        <v>8.0091202031602707E-2</v>
      </c>
      <c r="AV151" s="1">
        <v>13</v>
      </c>
      <c r="AW151">
        <v>504</v>
      </c>
      <c r="AX151">
        <v>353</v>
      </c>
      <c r="AY151" s="6">
        <v>3</v>
      </c>
      <c r="AZ151" s="6">
        <v>14</v>
      </c>
      <c r="BA151" s="11">
        <f t="shared" si="41"/>
        <v>31.5</v>
      </c>
      <c r="BB151">
        <f t="shared" si="42"/>
        <v>22.0625</v>
      </c>
      <c r="BC151">
        <f t="shared" si="43"/>
        <v>151</v>
      </c>
      <c r="BD151">
        <f t="shared" si="44"/>
        <v>9.4375</v>
      </c>
      <c r="BE151" s="10">
        <v>12.4480333316671</v>
      </c>
      <c r="BF151" s="6">
        <v>26.714289999999998</v>
      </c>
      <c r="BG151" s="6">
        <v>29.41255</v>
      </c>
      <c r="BH151" s="6">
        <v>0.60043400000000002</v>
      </c>
      <c r="BI151" s="6">
        <v>0.60317500000000002</v>
      </c>
      <c r="BJ151" s="6"/>
      <c r="BK151" s="6" t="s">
        <v>67</v>
      </c>
      <c r="BL151" s="6" t="s">
        <v>68</v>
      </c>
      <c r="BM151" s="6" t="s">
        <v>69</v>
      </c>
      <c r="BN151" s="6" t="s">
        <v>70</v>
      </c>
    </row>
    <row r="152" spans="1:66">
      <c r="A152" s="1" t="s">
        <v>262</v>
      </c>
      <c r="B152" s="1">
        <v>2018</v>
      </c>
      <c r="C152" s="1" t="s">
        <v>126</v>
      </c>
      <c r="D152" s="1">
        <v>23411925</v>
      </c>
      <c r="E152" s="1">
        <v>11329128</v>
      </c>
      <c r="F152" s="1">
        <v>12265128</v>
      </c>
      <c r="G152" s="1">
        <v>7070209</v>
      </c>
      <c r="H152" s="2">
        <f t="shared" si="30"/>
        <v>19335337</v>
      </c>
      <c r="I152" s="2">
        <f>H152+E152</f>
        <v>30664465</v>
      </c>
      <c r="J152" s="1">
        <v>16351639</v>
      </c>
      <c r="K152" s="2">
        <f t="shared" si="31"/>
        <v>54076390</v>
      </c>
      <c r="L152" s="1">
        <v>70428029</v>
      </c>
      <c r="M152" s="1">
        <v>6466608</v>
      </c>
      <c r="N152" s="1">
        <v>23401317</v>
      </c>
      <c r="O152" s="4">
        <f t="shared" si="32"/>
        <v>29867925</v>
      </c>
      <c r="P152" s="1">
        <v>7366336</v>
      </c>
      <c r="Q152" s="4">
        <f t="shared" si="33"/>
        <v>37234261</v>
      </c>
      <c r="R152" s="1">
        <v>5267371</v>
      </c>
      <c r="S152" s="1">
        <v>13155011</v>
      </c>
      <c r="T152" s="4">
        <f t="shared" si="34"/>
        <v>18422382</v>
      </c>
      <c r="U152" s="1">
        <v>55656643</v>
      </c>
      <c r="V152" s="1">
        <v>2018</v>
      </c>
      <c r="W152" s="8">
        <v>9544257</v>
      </c>
      <c r="X152" s="1">
        <v>0.313</v>
      </c>
      <c r="Y152" s="1">
        <v>0</v>
      </c>
      <c r="Z152" s="1">
        <v>0</v>
      </c>
      <c r="AA152" s="1">
        <v>177200000</v>
      </c>
      <c r="AB152" s="1">
        <v>0.13212147291196388</v>
      </c>
      <c r="AC152" s="1">
        <v>6.3934130925507898E-2</v>
      </c>
      <c r="AD152" s="1">
        <v>6.9216297968397289E-2</v>
      </c>
      <c r="AE152" s="1">
        <v>3.9899599322799094E-2</v>
      </c>
      <c r="AF152" s="2">
        <f t="shared" si="35"/>
        <v>0.10911589729119639</v>
      </c>
      <c r="AG152" s="2">
        <f>AF152+AC152</f>
        <v>0.17305002821670429</v>
      </c>
      <c r="AH152" s="1">
        <v>9.227787246049661E-2</v>
      </c>
      <c r="AI152" s="2">
        <f t="shared" si="36"/>
        <v>0.30517150112866814</v>
      </c>
      <c r="AJ152" s="1">
        <v>3.649327313769752E-2</v>
      </c>
      <c r="AK152" s="1">
        <v>0.13206160835214448</v>
      </c>
      <c r="AL152" s="4">
        <f t="shared" si="37"/>
        <v>0.16855488148984199</v>
      </c>
      <c r="AM152" s="1">
        <v>4.1570744920993226E-2</v>
      </c>
      <c r="AN152" s="4">
        <f t="shared" si="38"/>
        <v>0.21012562641083521</v>
      </c>
      <c r="AO152" s="1">
        <v>2.9725569977426636E-2</v>
      </c>
      <c r="AP152" s="1">
        <v>7.4238211060948078E-2</v>
      </c>
      <c r="AQ152" s="4">
        <f t="shared" si="39"/>
        <v>0.10396378103837471</v>
      </c>
      <c r="AR152" s="1">
        <v>0.31408940744920993</v>
      </c>
      <c r="AS152" s="1">
        <v>0.39744937358916477</v>
      </c>
      <c r="AT152" s="1">
        <v>0.28846121896162535</v>
      </c>
      <c r="AU152" s="1">
        <f t="shared" si="40"/>
        <v>5.3861495485327315E-2</v>
      </c>
      <c r="AV152" s="1">
        <v>5</v>
      </c>
      <c r="AW152">
        <v>369</v>
      </c>
      <c r="AX152">
        <v>412</v>
      </c>
      <c r="AY152" s="6">
        <v>16</v>
      </c>
      <c r="AZ152" s="6">
        <v>23</v>
      </c>
      <c r="BA152" s="11">
        <f t="shared" si="41"/>
        <v>23.0625</v>
      </c>
      <c r="BB152">
        <f t="shared" si="42"/>
        <v>25.75</v>
      </c>
      <c r="BC152">
        <f t="shared" si="43"/>
        <v>-43</v>
      </c>
      <c r="BD152">
        <f t="shared" si="44"/>
        <v>-2.6875</v>
      </c>
      <c r="BE152" s="10">
        <v>6.8136395148195401</v>
      </c>
      <c r="BF152" s="6">
        <v>25.857140000000001</v>
      </c>
      <c r="BG152" s="6">
        <v>28.831939999999999</v>
      </c>
      <c r="BH152" s="6">
        <v>0.65396699999999996</v>
      </c>
      <c r="BI152" s="6">
        <v>0.269841</v>
      </c>
      <c r="BJ152" s="6"/>
      <c r="BK152" s="6" t="s">
        <v>67</v>
      </c>
      <c r="BL152" s="6" t="s">
        <v>96</v>
      </c>
      <c r="BM152" s="6" t="s">
        <v>70</v>
      </c>
      <c r="BN152" s="6" t="s">
        <v>70</v>
      </c>
    </row>
    <row r="153" spans="1:66">
      <c r="A153" s="1" t="s">
        <v>263</v>
      </c>
      <c r="B153" s="1">
        <v>2018</v>
      </c>
      <c r="C153" s="1" t="s">
        <v>128</v>
      </c>
      <c r="D153" s="1">
        <v>15760757</v>
      </c>
      <c r="E153" s="1">
        <v>8070717</v>
      </c>
      <c r="F153" s="1">
        <v>13044099</v>
      </c>
      <c r="G153" s="1">
        <v>3861826</v>
      </c>
      <c r="H153" s="2">
        <f t="shared" si="30"/>
        <v>16905925</v>
      </c>
      <c r="I153" s="2">
        <f>H153+E153</f>
        <v>24976642</v>
      </c>
      <c r="J153" s="1">
        <v>36847212</v>
      </c>
      <c r="K153" s="2">
        <f t="shared" si="31"/>
        <v>40737399</v>
      </c>
      <c r="L153" s="1">
        <v>77584611</v>
      </c>
      <c r="M153" s="1">
        <v>16336478</v>
      </c>
      <c r="N153" s="1">
        <v>5967157</v>
      </c>
      <c r="O153" s="4">
        <f t="shared" si="32"/>
        <v>22303635</v>
      </c>
      <c r="P153" s="1">
        <v>11918348</v>
      </c>
      <c r="Q153" s="4">
        <f t="shared" si="33"/>
        <v>34221983</v>
      </c>
      <c r="R153" s="1">
        <v>10941303</v>
      </c>
      <c r="S153" s="1">
        <v>27956260</v>
      </c>
      <c r="T153" s="4">
        <f t="shared" si="34"/>
        <v>38897563</v>
      </c>
      <c r="U153" s="1">
        <v>73119546</v>
      </c>
      <c r="V153" s="1">
        <v>2018</v>
      </c>
      <c r="W153" s="8">
        <v>41761725</v>
      </c>
      <c r="X153" s="1">
        <v>0.25</v>
      </c>
      <c r="Y153" s="1">
        <v>0</v>
      </c>
      <c r="Z153" s="1">
        <v>0</v>
      </c>
      <c r="AA153" s="1">
        <v>177200000</v>
      </c>
      <c r="AB153" s="1">
        <v>8.894332392776523E-2</v>
      </c>
      <c r="AC153" s="1">
        <v>4.5545806997742661E-2</v>
      </c>
      <c r="AD153" s="1">
        <v>7.3612296839729113E-2</v>
      </c>
      <c r="AE153" s="1">
        <v>2.179360045146727E-2</v>
      </c>
      <c r="AF153" s="2">
        <f t="shared" si="35"/>
        <v>9.540589729119639E-2</v>
      </c>
      <c r="AG153" s="2">
        <f>AF153+AC153</f>
        <v>0.14095170428893905</v>
      </c>
      <c r="AH153" s="1">
        <v>0.20794137697516929</v>
      </c>
      <c r="AI153" s="2">
        <f t="shared" si="36"/>
        <v>0.22989502821670429</v>
      </c>
      <c r="AJ153" s="1">
        <v>9.2192313769751691E-2</v>
      </c>
      <c r="AK153" s="1">
        <v>3.3674700902934535E-2</v>
      </c>
      <c r="AL153" s="4">
        <f t="shared" si="37"/>
        <v>0.12586701467268624</v>
      </c>
      <c r="AM153" s="1">
        <v>6.7259300225733634E-2</v>
      </c>
      <c r="AN153" s="4">
        <f t="shared" si="38"/>
        <v>0.19312631489841986</v>
      </c>
      <c r="AO153" s="1">
        <v>6.174550225733634E-2</v>
      </c>
      <c r="AP153" s="1">
        <v>0.15776670428893905</v>
      </c>
      <c r="AQ153" s="4">
        <f t="shared" si="39"/>
        <v>0.2195122065462754</v>
      </c>
      <c r="AR153" s="1">
        <v>0.41263852144469526</v>
      </c>
      <c r="AS153" s="1">
        <v>0.43783640519187361</v>
      </c>
      <c r="AT153" s="1">
        <v>0.14952507336343113</v>
      </c>
      <c r="AU153" s="1">
        <f t="shared" si="40"/>
        <v>0.23567564898419865</v>
      </c>
      <c r="AV153" s="1">
        <v>4</v>
      </c>
      <c r="AW153">
        <v>333</v>
      </c>
      <c r="AX153">
        <v>441</v>
      </c>
      <c r="AY153" s="6">
        <v>23</v>
      </c>
      <c r="AZ153" s="6">
        <v>29</v>
      </c>
      <c r="BA153" s="11">
        <f t="shared" si="41"/>
        <v>20.8125</v>
      </c>
      <c r="BB153">
        <f t="shared" si="42"/>
        <v>27.5625</v>
      </c>
      <c r="BC153">
        <f t="shared" si="43"/>
        <v>-108</v>
      </c>
      <c r="BD153">
        <f t="shared" si="44"/>
        <v>-6.75</v>
      </c>
      <c r="BE153" s="10">
        <v>4.9258271535046303</v>
      </c>
      <c r="BF153" s="6">
        <v>25.85294</v>
      </c>
      <c r="BG153" s="6">
        <v>27.66534</v>
      </c>
      <c r="BH153" s="6">
        <v>0.60492900000000005</v>
      </c>
      <c r="BI153" s="6">
        <v>0.52941199999999999</v>
      </c>
      <c r="BJ153" s="6"/>
      <c r="BK153" s="6" t="s">
        <v>80</v>
      </c>
      <c r="BL153" s="6" t="s">
        <v>68</v>
      </c>
      <c r="BM153" s="6" t="s">
        <v>92</v>
      </c>
      <c r="BN153" s="6" t="s">
        <v>93</v>
      </c>
    </row>
    <row r="154" spans="1:66">
      <c r="A154" s="1" t="s">
        <v>264</v>
      </c>
      <c r="B154" s="1">
        <v>2018</v>
      </c>
      <c r="C154" s="1" t="s">
        <v>112</v>
      </c>
      <c r="D154" s="1">
        <v>25915200</v>
      </c>
      <c r="E154" s="1">
        <v>7694424</v>
      </c>
      <c r="F154" s="1">
        <v>18652510</v>
      </c>
      <c r="G154" s="1">
        <v>11533431</v>
      </c>
      <c r="H154" s="2">
        <f>SUM(F154:G154)</f>
        <v>30185941</v>
      </c>
      <c r="I154" s="2">
        <f>H154+E154</f>
        <v>37880365</v>
      </c>
      <c r="J154" s="1">
        <v>36376204</v>
      </c>
      <c r="K154" s="2">
        <f>SUM(D154:G154)</f>
        <v>63795565</v>
      </c>
      <c r="L154" s="1">
        <v>100171769</v>
      </c>
      <c r="M154" s="1">
        <v>11861506</v>
      </c>
      <c r="N154" s="1">
        <v>2352299</v>
      </c>
      <c r="O154" s="4">
        <f>SUM(M154:N154)</f>
        <v>14213805</v>
      </c>
      <c r="P154" s="1">
        <v>10206380</v>
      </c>
      <c r="Q154" s="4">
        <f>SUM(O154:P154)</f>
        <v>24420185</v>
      </c>
      <c r="R154" s="1">
        <v>11068824</v>
      </c>
      <c r="S154" s="1">
        <v>11492532</v>
      </c>
      <c r="T154" s="4">
        <f>SUM(R154:S154)</f>
        <v>22561356</v>
      </c>
      <c r="U154" s="1">
        <v>46981541</v>
      </c>
      <c r="V154" s="1">
        <v>2018</v>
      </c>
      <c r="W154" s="8">
        <v>34623459</v>
      </c>
      <c r="X154" s="1">
        <v>0.25</v>
      </c>
      <c r="Y154" s="1">
        <v>0</v>
      </c>
      <c r="Z154" s="1">
        <v>0</v>
      </c>
      <c r="AA154" s="1">
        <v>177200000</v>
      </c>
      <c r="AB154" s="1">
        <v>0.14624830699774266</v>
      </c>
      <c r="AC154" s="1">
        <v>4.3422257336343112E-2</v>
      </c>
      <c r="AD154" s="1">
        <v>0.10526247178329572</v>
      </c>
      <c r="AE154" s="1">
        <v>6.5087082392776524E-2</v>
      </c>
      <c r="AF154" s="2">
        <f>SUM(AD154:AE154)</f>
        <v>0.17034955417607223</v>
      </c>
      <c r="AG154" s="2">
        <f>AF154+AC154</f>
        <v>0.21377181151241534</v>
      </c>
      <c r="AH154" s="1">
        <v>0.20528331828442439</v>
      </c>
      <c r="AI154" s="2">
        <f>SUM(AB154:AE154)</f>
        <v>0.36002011851015803</v>
      </c>
      <c r="AJ154" s="1">
        <v>6.6938521444695254E-2</v>
      </c>
      <c r="AK154" s="1">
        <v>1.3274825056433409E-2</v>
      </c>
      <c r="AL154" s="4">
        <f>SUM(AJ154:AK154)</f>
        <v>8.0213346501128657E-2</v>
      </c>
      <c r="AM154" s="1">
        <v>5.7598081264108356E-2</v>
      </c>
      <c r="AN154" s="4">
        <f>SUM(AL154:AM154)</f>
        <v>0.13781142776523703</v>
      </c>
      <c r="AO154" s="1">
        <v>6.2465146726862306E-2</v>
      </c>
      <c r="AP154" s="1">
        <v>6.4856275395033858E-2</v>
      </c>
      <c r="AQ154" s="4">
        <f>SUM(AO154:AP154)</f>
        <v>0.12732142212189618</v>
      </c>
      <c r="AR154" s="1">
        <v>0.2651328498871332</v>
      </c>
      <c r="AS154" s="1">
        <v>0.56530343679458239</v>
      </c>
      <c r="AT154" s="1">
        <v>0.16956371331828435</v>
      </c>
      <c r="AU154" s="1">
        <f t="shared" si="40"/>
        <v>0.19539198081264109</v>
      </c>
      <c r="AV154" s="1">
        <v>4</v>
      </c>
      <c r="AW154">
        <v>290</v>
      </c>
      <c r="AX154">
        <v>467</v>
      </c>
      <c r="AY154" s="6">
        <v>28</v>
      </c>
      <c r="AZ154" s="6">
        <v>32</v>
      </c>
      <c r="BA154" s="11">
        <f t="shared" si="41"/>
        <v>18.125</v>
      </c>
      <c r="BB154">
        <f t="shared" si="42"/>
        <v>29.1875</v>
      </c>
      <c r="BC154">
        <f t="shared" si="43"/>
        <v>-177</v>
      </c>
      <c r="BD154">
        <f t="shared" si="44"/>
        <v>-11.0625</v>
      </c>
      <c r="BE154" s="10">
        <v>2.9218417238011098</v>
      </c>
      <c r="BF154" s="6">
        <v>26.84722</v>
      </c>
      <c r="BG154" s="6">
        <v>28.41309</v>
      </c>
      <c r="BH154" s="6">
        <v>0.65694399999999997</v>
      </c>
      <c r="BI154" s="6">
        <v>0.31944400000000001</v>
      </c>
      <c r="BJ154" s="6"/>
      <c r="BK154" s="6" t="s">
        <v>67</v>
      </c>
      <c r="BL154" s="6" t="s">
        <v>96</v>
      </c>
      <c r="BM154" s="6" t="s">
        <v>70</v>
      </c>
      <c r="BN154" s="6" t="s">
        <v>70</v>
      </c>
    </row>
    <row r="155" spans="1:66">
      <c r="A155" s="1" t="s">
        <v>265</v>
      </c>
      <c r="B155" s="1">
        <v>2018</v>
      </c>
      <c r="C155" s="1" t="s">
        <v>130</v>
      </c>
      <c r="D155" s="1">
        <v>21505365</v>
      </c>
      <c r="E155" s="1">
        <v>5143228</v>
      </c>
      <c r="F155" s="1">
        <v>16761079</v>
      </c>
      <c r="G155" s="1">
        <v>7215415</v>
      </c>
      <c r="H155" s="2">
        <f t="shared" si="30"/>
        <v>23976494</v>
      </c>
      <c r="I155" s="2">
        <f>H155+E155</f>
        <v>29119722</v>
      </c>
      <c r="J155" s="1">
        <v>35461396</v>
      </c>
      <c r="K155" s="2">
        <f t="shared" si="31"/>
        <v>50625087</v>
      </c>
      <c r="L155" s="1">
        <v>86086483</v>
      </c>
      <c r="M155" s="1">
        <v>19610353</v>
      </c>
      <c r="N155" s="1">
        <v>20521371</v>
      </c>
      <c r="O155" s="4">
        <f t="shared" si="32"/>
        <v>40131724</v>
      </c>
      <c r="P155" s="1">
        <v>7463300</v>
      </c>
      <c r="Q155" s="4">
        <f t="shared" si="33"/>
        <v>47595024</v>
      </c>
      <c r="R155" s="1">
        <v>16905015</v>
      </c>
      <c r="S155" s="1">
        <v>5420767</v>
      </c>
      <c r="T155" s="4">
        <f t="shared" si="34"/>
        <v>22325782</v>
      </c>
      <c r="U155" s="1">
        <v>69920806</v>
      </c>
      <c r="V155" s="1">
        <v>2018</v>
      </c>
      <c r="W155" s="8">
        <v>20530036</v>
      </c>
      <c r="X155" s="1">
        <v>0.56299999999999994</v>
      </c>
      <c r="Y155" s="1">
        <v>1</v>
      </c>
      <c r="Z155" s="1">
        <v>0</v>
      </c>
      <c r="AA155" s="1">
        <v>177200000</v>
      </c>
      <c r="AB155" s="1">
        <v>0.12136210496613996</v>
      </c>
      <c r="AC155" s="1">
        <v>2.9024988713318284E-2</v>
      </c>
      <c r="AD155" s="1">
        <v>9.4588481941309255E-2</v>
      </c>
      <c r="AE155" s="1">
        <v>4.0719046275395035E-2</v>
      </c>
      <c r="AF155" s="2">
        <f t="shared" si="35"/>
        <v>0.13530752821670428</v>
      </c>
      <c r="AG155" s="2">
        <f>AF155+AC155</f>
        <v>0.16433251693002257</v>
      </c>
      <c r="AH155" s="1">
        <v>0.20012074492099322</v>
      </c>
      <c r="AI155" s="2">
        <f t="shared" si="36"/>
        <v>0.28569462189616252</v>
      </c>
      <c r="AJ155" s="1">
        <v>0.11066790632054176</v>
      </c>
      <c r="AK155" s="1">
        <v>0.1158090914221219</v>
      </c>
      <c r="AL155" s="4">
        <f t="shared" si="37"/>
        <v>0.22647699774266367</v>
      </c>
      <c r="AM155" s="1">
        <v>4.2117945823927763E-2</v>
      </c>
      <c r="AN155" s="4">
        <f t="shared" si="38"/>
        <v>0.26859494356659142</v>
      </c>
      <c r="AO155" s="1">
        <v>9.54007618510158E-2</v>
      </c>
      <c r="AP155" s="1">
        <v>3.0591235891647854E-2</v>
      </c>
      <c r="AQ155" s="4">
        <f t="shared" si="39"/>
        <v>0.12599199774266365</v>
      </c>
      <c r="AR155" s="1">
        <v>0.39458694130925509</v>
      </c>
      <c r="AS155" s="1">
        <v>0.48581536681715576</v>
      </c>
      <c r="AT155" s="1">
        <v>0.11959769187358915</v>
      </c>
      <c r="AU155" s="1">
        <f t="shared" si="40"/>
        <v>0.11585799097065463</v>
      </c>
      <c r="AV155" s="1">
        <v>9</v>
      </c>
      <c r="AW155">
        <v>367</v>
      </c>
      <c r="AX155">
        <v>348</v>
      </c>
      <c r="AY155" s="6">
        <v>18</v>
      </c>
      <c r="AZ155" s="6">
        <v>12</v>
      </c>
      <c r="BA155" s="11">
        <f t="shared" si="41"/>
        <v>22.9375</v>
      </c>
      <c r="BB155">
        <f t="shared" si="42"/>
        <v>21.75</v>
      </c>
      <c r="BC155">
        <f t="shared" si="43"/>
        <v>19</v>
      </c>
      <c r="BD155">
        <f t="shared" si="44"/>
        <v>1.1875</v>
      </c>
      <c r="BE155" s="10">
        <v>8.6143220748429901</v>
      </c>
      <c r="BF155" s="6">
        <v>26.4</v>
      </c>
      <c r="BG155" s="6">
        <v>28.79017</v>
      </c>
      <c r="BH155" s="6">
        <v>0.58779599999999999</v>
      </c>
      <c r="BI155" s="6">
        <v>0.56923100000000004</v>
      </c>
      <c r="BJ155" s="6"/>
      <c r="BK155" s="6" t="s">
        <v>67</v>
      </c>
      <c r="BL155" s="6" t="s">
        <v>74</v>
      </c>
      <c r="BM155" s="6" t="s">
        <v>102</v>
      </c>
      <c r="BN155" s="6" t="s">
        <v>70</v>
      </c>
    </row>
    <row r="156" spans="1:66">
      <c r="A156" s="1" t="s">
        <v>266</v>
      </c>
      <c r="B156" s="1">
        <v>2018</v>
      </c>
      <c r="C156" s="1" t="s">
        <v>132</v>
      </c>
      <c r="D156" s="1">
        <v>24607847</v>
      </c>
      <c r="E156" s="1">
        <v>1545560</v>
      </c>
      <c r="F156" s="1">
        <v>13094252</v>
      </c>
      <c r="G156" s="1">
        <v>5891394</v>
      </c>
      <c r="H156" s="2">
        <f t="shared" si="30"/>
        <v>18985646</v>
      </c>
      <c r="I156" s="2">
        <f>H156+E156</f>
        <v>20531206</v>
      </c>
      <c r="J156" s="1">
        <v>35090781</v>
      </c>
      <c r="K156" s="2">
        <f t="shared" si="31"/>
        <v>45139053</v>
      </c>
      <c r="L156" s="1">
        <v>80229834</v>
      </c>
      <c r="M156" s="1">
        <v>18570996</v>
      </c>
      <c r="N156" s="1">
        <v>7627086</v>
      </c>
      <c r="O156" s="4">
        <f t="shared" si="32"/>
        <v>26198082</v>
      </c>
      <c r="P156" s="1">
        <v>15162163</v>
      </c>
      <c r="Q156" s="4">
        <f t="shared" si="33"/>
        <v>41360245</v>
      </c>
      <c r="R156" s="1">
        <v>7577505</v>
      </c>
      <c r="S156" s="1">
        <v>18261233</v>
      </c>
      <c r="T156" s="4">
        <f t="shared" si="34"/>
        <v>25838738</v>
      </c>
      <c r="U156" s="1">
        <v>67198983</v>
      </c>
      <c r="V156" s="1">
        <v>2018</v>
      </c>
      <c r="W156" s="8">
        <v>23196622</v>
      </c>
      <c r="X156" s="1">
        <v>0.59399999999999997</v>
      </c>
      <c r="Y156" s="1">
        <v>0</v>
      </c>
      <c r="Z156" s="1">
        <v>0</v>
      </c>
      <c r="AA156" s="1">
        <v>177200000</v>
      </c>
      <c r="AB156" s="1">
        <v>0.1388704683972912</v>
      </c>
      <c r="AC156" s="1">
        <v>8.7221218961625289E-3</v>
      </c>
      <c r="AD156" s="1">
        <v>7.3895327313769757E-2</v>
      </c>
      <c r="AE156" s="1">
        <v>3.3247144469525959E-2</v>
      </c>
      <c r="AF156" s="2">
        <f t="shared" si="35"/>
        <v>0.10714247178329572</v>
      </c>
      <c r="AG156" s="2">
        <f>AF156+AC156</f>
        <v>0.11586459367945826</v>
      </c>
      <c r="AH156" s="1">
        <v>0.19802923814898421</v>
      </c>
      <c r="AI156" s="2">
        <f t="shared" si="36"/>
        <v>0.25473506207674945</v>
      </c>
      <c r="AJ156" s="1">
        <v>0.104802460496614</v>
      </c>
      <c r="AK156" s="1">
        <v>4.3042246049661399E-2</v>
      </c>
      <c r="AL156" s="4">
        <f t="shared" si="37"/>
        <v>0.14784470654627541</v>
      </c>
      <c r="AM156" s="1">
        <v>8.5565253950338607E-2</v>
      </c>
      <c r="AN156" s="4">
        <f t="shared" si="38"/>
        <v>0.233409960496614</v>
      </c>
      <c r="AO156" s="1">
        <v>4.2762443566591424E-2</v>
      </c>
      <c r="AP156" s="1">
        <v>0.10305436230248308</v>
      </c>
      <c r="AQ156" s="4">
        <f t="shared" si="39"/>
        <v>0.1458168058690745</v>
      </c>
      <c r="AR156" s="1">
        <v>0.37922676636568847</v>
      </c>
      <c r="AS156" s="1">
        <v>0.45276430022573361</v>
      </c>
      <c r="AT156" s="1">
        <v>0.16800893340857792</v>
      </c>
      <c r="AU156" s="1">
        <f t="shared" si="40"/>
        <v>0.13090644469525958</v>
      </c>
      <c r="AV156" s="1">
        <v>9</v>
      </c>
      <c r="AW156">
        <v>428</v>
      </c>
      <c r="AX156">
        <v>360</v>
      </c>
      <c r="AY156" s="6">
        <v>6</v>
      </c>
      <c r="AZ156" s="6">
        <v>16</v>
      </c>
      <c r="BA156" s="11">
        <f t="shared" si="41"/>
        <v>26.75</v>
      </c>
      <c r="BB156">
        <f t="shared" si="42"/>
        <v>22.5</v>
      </c>
      <c r="BC156">
        <f t="shared" si="43"/>
        <v>68</v>
      </c>
      <c r="BD156">
        <f t="shared" si="44"/>
        <v>4.25</v>
      </c>
      <c r="BE156" s="10">
        <v>10.037442162603501</v>
      </c>
      <c r="BF156" s="6">
        <v>26.12698</v>
      </c>
      <c r="BG156" s="6">
        <v>28.971679999999999</v>
      </c>
      <c r="BH156" s="6">
        <v>0.60560499999999995</v>
      </c>
      <c r="BI156" s="6">
        <v>0.68254000000000004</v>
      </c>
      <c r="BJ156" s="6"/>
      <c r="BK156" s="6" t="s">
        <v>67</v>
      </c>
      <c r="BL156" s="6" t="s">
        <v>68</v>
      </c>
      <c r="BM156" s="6" t="s">
        <v>69</v>
      </c>
      <c r="BN156" s="6" t="s">
        <v>70</v>
      </c>
    </row>
    <row r="157" spans="1:66">
      <c r="A157" s="1" t="s">
        <v>267</v>
      </c>
      <c r="B157" s="1">
        <v>2018</v>
      </c>
      <c r="C157" s="1" t="s">
        <v>134</v>
      </c>
      <c r="D157" s="1">
        <v>38197259</v>
      </c>
      <c r="E157" s="1">
        <v>8311842</v>
      </c>
      <c r="F157" s="1">
        <v>18448916</v>
      </c>
      <c r="G157" s="1">
        <v>3643398</v>
      </c>
      <c r="H157" s="2">
        <f t="shared" si="30"/>
        <v>22092314</v>
      </c>
      <c r="I157" s="2">
        <f>H157+E157</f>
        <v>30404156</v>
      </c>
      <c r="J157" s="1">
        <v>33769652</v>
      </c>
      <c r="K157" s="2">
        <f t="shared" si="31"/>
        <v>68601415</v>
      </c>
      <c r="L157" s="1">
        <v>102371067</v>
      </c>
      <c r="M157" s="1">
        <v>10033146</v>
      </c>
      <c r="N157" s="1">
        <v>16528345</v>
      </c>
      <c r="O157" s="4">
        <f t="shared" si="32"/>
        <v>26561491</v>
      </c>
      <c r="P157" s="1">
        <v>8852841</v>
      </c>
      <c r="Q157" s="4">
        <f t="shared" si="33"/>
        <v>35414332</v>
      </c>
      <c r="R157" s="1">
        <v>3207934</v>
      </c>
      <c r="S157" s="1">
        <v>18947503</v>
      </c>
      <c r="T157" s="4">
        <f t="shared" si="34"/>
        <v>22155437</v>
      </c>
      <c r="U157" s="1">
        <v>57569769</v>
      </c>
      <c r="V157" s="1">
        <v>2018</v>
      </c>
      <c r="W157" s="8">
        <v>72798856</v>
      </c>
      <c r="X157" s="1">
        <v>0.25</v>
      </c>
      <c r="Y157" s="1">
        <v>0</v>
      </c>
      <c r="Z157" s="1">
        <v>0</v>
      </c>
      <c r="AA157" s="1">
        <v>177200000</v>
      </c>
      <c r="AB157" s="1">
        <v>0.21556015237020315</v>
      </c>
      <c r="AC157" s="1">
        <v>4.6906557562076748E-2</v>
      </c>
      <c r="AD157" s="1">
        <v>0.10411352144469525</v>
      </c>
      <c r="AE157" s="1">
        <v>2.0560936794582391E-2</v>
      </c>
      <c r="AF157" s="2">
        <f t="shared" si="35"/>
        <v>0.12467445823927764</v>
      </c>
      <c r="AG157" s="2">
        <f>AF157+AC157</f>
        <v>0.17158101580135438</v>
      </c>
      <c r="AH157" s="1">
        <v>0.19057365688487585</v>
      </c>
      <c r="AI157" s="2">
        <f t="shared" si="36"/>
        <v>0.38714116817155753</v>
      </c>
      <c r="AJ157" s="1">
        <v>5.6620462753950336E-2</v>
      </c>
      <c r="AK157" s="1">
        <v>9.3275084650112861E-2</v>
      </c>
      <c r="AL157" s="4">
        <f t="shared" si="37"/>
        <v>0.14989554740406319</v>
      </c>
      <c r="AM157" s="1">
        <v>4.99595993227991E-2</v>
      </c>
      <c r="AN157" s="4">
        <f t="shared" si="38"/>
        <v>0.19985514672686228</v>
      </c>
      <c r="AO157" s="1">
        <v>1.8103465011286683E-2</v>
      </c>
      <c r="AP157" s="1">
        <v>0.10692721783295711</v>
      </c>
      <c r="AQ157" s="4">
        <f t="shared" si="39"/>
        <v>0.12503068284424379</v>
      </c>
      <c r="AR157" s="1">
        <v>0.32488582957110612</v>
      </c>
      <c r="AS157" s="1">
        <v>0.57771482505643346</v>
      </c>
      <c r="AT157" s="1">
        <v>9.7399345372460422E-2</v>
      </c>
      <c r="AU157" s="1">
        <f t="shared" si="40"/>
        <v>0.41082875846501127</v>
      </c>
      <c r="AV157" s="1">
        <v>4</v>
      </c>
      <c r="AW157">
        <v>342</v>
      </c>
      <c r="AX157">
        <v>435</v>
      </c>
      <c r="AY157" s="6">
        <v>21</v>
      </c>
      <c r="AZ157" s="6">
        <v>28</v>
      </c>
      <c r="BA157" s="11">
        <f t="shared" si="41"/>
        <v>21.375</v>
      </c>
      <c r="BB157">
        <f t="shared" si="42"/>
        <v>27.1875</v>
      </c>
      <c r="BC157">
        <f t="shared" si="43"/>
        <v>-93</v>
      </c>
      <c r="BD157">
        <f t="shared" si="44"/>
        <v>-5.8125</v>
      </c>
      <c r="BE157" s="10">
        <v>5.3614761599619198</v>
      </c>
      <c r="BF157" s="6">
        <v>25.579709999999999</v>
      </c>
      <c r="BG157" s="6">
        <v>27.467919999999999</v>
      </c>
      <c r="BH157" s="6">
        <v>0.67406500000000003</v>
      </c>
      <c r="BI157" s="6">
        <v>0.57970999999999995</v>
      </c>
      <c r="BJ157" s="6"/>
      <c r="BK157" s="6" t="s">
        <v>73</v>
      </c>
      <c r="BL157" s="6" t="s">
        <v>96</v>
      </c>
      <c r="BM157" s="6" t="s">
        <v>93</v>
      </c>
      <c r="BN157" s="6" t="s">
        <v>93</v>
      </c>
    </row>
    <row r="158" spans="1:66">
      <c r="A158" s="1" t="s">
        <v>268</v>
      </c>
      <c r="B158" s="1">
        <v>2018</v>
      </c>
      <c r="C158" s="1" t="s">
        <v>136</v>
      </c>
      <c r="D158" s="1">
        <v>24620964</v>
      </c>
      <c r="E158" s="1">
        <v>4655724</v>
      </c>
      <c r="F158" s="1">
        <v>20229810</v>
      </c>
      <c r="G158" s="1">
        <v>3273982</v>
      </c>
      <c r="H158" s="2">
        <f t="shared" si="30"/>
        <v>23503792</v>
      </c>
      <c r="I158" s="2">
        <f>H158+E158</f>
        <v>28159516</v>
      </c>
      <c r="J158" s="1">
        <v>22883379</v>
      </c>
      <c r="K158" s="2">
        <f t="shared" si="31"/>
        <v>52780480</v>
      </c>
      <c r="L158" s="1">
        <v>75663859</v>
      </c>
      <c r="M158" s="1">
        <v>5451644</v>
      </c>
      <c r="N158" s="1">
        <v>5314490</v>
      </c>
      <c r="O158" s="4">
        <f t="shared" si="32"/>
        <v>10766134</v>
      </c>
      <c r="P158" s="1">
        <v>26759580</v>
      </c>
      <c r="Q158" s="4">
        <f t="shared" si="33"/>
        <v>37525714</v>
      </c>
      <c r="R158" s="1">
        <v>26285750</v>
      </c>
      <c r="S158" s="1">
        <v>7339007</v>
      </c>
      <c r="T158" s="4">
        <f t="shared" si="34"/>
        <v>33624757</v>
      </c>
      <c r="U158" s="1">
        <v>71150471</v>
      </c>
      <c r="V158" s="1">
        <v>2018</v>
      </c>
      <c r="W158" s="8">
        <v>27300461</v>
      </c>
      <c r="X158" s="1">
        <v>0.625</v>
      </c>
      <c r="Y158" s="1">
        <v>1</v>
      </c>
      <c r="Z158" s="1">
        <v>0</v>
      </c>
      <c r="AA158" s="1">
        <v>177200000</v>
      </c>
      <c r="AB158" s="1">
        <v>0.1389444920993228</v>
      </c>
      <c r="AC158" s="1">
        <v>2.6273837471783294E-2</v>
      </c>
      <c r="AD158" s="1">
        <v>0.11416371331828443</v>
      </c>
      <c r="AE158" s="1">
        <v>1.847619638826185E-2</v>
      </c>
      <c r="AF158" s="2">
        <f t="shared" si="35"/>
        <v>0.13263990970654627</v>
      </c>
      <c r="AG158" s="2">
        <f>AF158+AC158</f>
        <v>0.15891374717832957</v>
      </c>
      <c r="AH158" s="1">
        <v>0.12913870767494356</v>
      </c>
      <c r="AI158" s="2">
        <f t="shared" si="36"/>
        <v>0.29785823927765237</v>
      </c>
      <c r="AJ158" s="1">
        <v>3.0765485327313769E-2</v>
      </c>
      <c r="AK158" s="1">
        <v>2.9991478555304742E-2</v>
      </c>
      <c r="AL158" s="4">
        <f t="shared" si="37"/>
        <v>6.075696388261851E-2</v>
      </c>
      <c r="AM158" s="1">
        <v>0.15101343115124152</v>
      </c>
      <c r="AN158" s="4">
        <f t="shared" si="38"/>
        <v>0.21177039503386003</v>
      </c>
      <c r="AO158" s="1">
        <v>0.14833944695259593</v>
      </c>
      <c r="AP158" s="1">
        <v>4.1416518058690746E-2</v>
      </c>
      <c r="AQ158" s="4">
        <f t="shared" si="39"/>
        <v>0.18975596501128666</v>
      </c>
      <c r="AR158" s="1">
        <v>0.40152636004514675</v>
      </c>
      <c r="AS158" s="1">
        <v>0.42699694695259593</v>
      </c>
      <c r="AT158" s="1">
        <v>0.17147669300225732</v>
      </c>
      <c r="AU158" s="1">
        <f t="shared" si="40"/>
        <v>0.15406580699774267</v>
      </c>
      <c r="AV158" s="1">
        <v>10</v>
      </c>
      <c r="AW158">
        <v>428</v>
      </c>
      <c r="AX158">
        <v>347</v>
      </c>
      <c r="AY158" s="6">
        <v>6</v>
      </c>
      <c r="AZ158" s="6">
        <v>11</v>
      </c>
      <c r="BA158" s="11">
        <f t="shared" si="41"/>
        <v>26.75</v>
      </c>
      <c r="BB158">
        <f t="shared" si="42"/>
        <v>21.6875</v>
      </c>
      <c r="BC158">
        <f t="shared" si="43"/>
        <v>81</v>
      </c>
      <c r="BD158">
        <f t="shared" si="44"/>
        <v>5.0625</v>
      </c>
      <c r="BE158" s="10">
        <v>10.415004634866399</v>
      </c>
      <c r="BF158" s="6">
        <v>25.584620000000001</v>
      </c>
      <c r="BG158" s="6">
        <v>28.144100000000002</v>
      </c>
      <c r="BH158" s="6">
        <v>0.64927199999999996</v>
      </c>
      <c r="BI158" s="6">
        <v>0.50769200000000003</v>
      </c>
      <c r="BJ158" s="6"/>
      <c r="BK158" s="6" t="s">
        <v>80</v>
      </c>
      <c r="BL158" s="6" t="s">
        <v>96</v>
      </c>
      <c r="BM158" s="6" t="s">
        <v>164</v>
      </c>
      <c r="BN158" s="6" t="s">
        <v>70</v>
      </c>
    </row>
    <row r="159" spans="1:66">
      <c r="A159" s="1" t="s">
        <v>269</v>
      </c>
      <c r="B159" s="1">
        <v>2018</v>
      </c>
      <c r="C159" s="1" t="s">
        <v>138</v>
      </c>
      <c r="D159" s="1">
        <v>12616903</v>
      </c>
      <c r="E159" s="1">
        <v>3981361</v>
      </c>
      <c r="F159" s="1">
        <v>34124743</v>
      </c>
      <c r="G159" s="1">
        <v>10224401</v>
      </c>
      <c r="H159" s="2">
        <f t="shared" si="30"/>
        <v>44349144</v>
      </c>
      <c r="I159" s="2">
        <f>H159+E159</f>
        <v>48330505</v>
      </c>
      <c r="J159" s="1">
        <v>25173502</v>
      </c>
      <c r="K159" s="2">
        <f t="shared" si="31"/>
        <v>60947408</v>
      </c>
      <c r="L159" s="1">
        <v>86120910</v>
      </c>
      <c r="M159" s="1">
        <v>30935514</v>
      </c>
      <c r="N159" s="1">
        <v>21624467</v>
      </c>
      <c r="O159" s="4">
        <f t="shared" si="32"/>
        <v>52559981</v>
      </c>
      <c r="P159" s="1">
        <v>14813639</v>
      </c>
      <c r="Q159" s="4">
        <f t="shared" si="33"/>
        <v>67373620</v>
      </c>
      <c r="R159" s="1">
        <v>6026118</v>
      </c>
      <c r="S159" s="1">
        <v>15212917</v>
      </c>
      <c r="T159" s="4">
        <f t="shared" si="34"/>
        <v>21239035</v>
      </c>
      <c r="U159" s="1">
        <v>88612655</v>
      </c>
      <c r="V159" s="1">
        <v>2018</v>
      </c>
      <c r="W159" s="8">
        <v>20969254</v>
      </c>
      <c r="X159" s="1">
        <v>0.313</v>
      </c>
      <c r="Y159" s="1">
        <v>0</v>
      </c>
      <c r="Z159" s="1">
        <v>0</v>
      </c>
      <c r="AA159" s="1">
        <v>177200000</v>
      </c>
      <c r="AB159" s="1">
        <v>7.1201484198645595E-2</v>
      </c>
      <c r="AC159" s="1">
        <v>2.2468177200902936E-2</v>
      </c>
      <c r="AD159" s="1">
        <v>0.19257755643340857</v>
      </c>
      <c r="AE159" s="1">
        <v>5.7699779909706546E-2</v>
      </c>
      <c r="AF159" s="2">
        <f t="shared" si="35"/>
        <v>0.25027733634311511</v>
      </c>
      <c r="AG159" s="2">
        <f>AF159+AC159</f>
        <v>0.27274551354401805</v>
      </c>
      <c r="AH159" s="1">
        <v>0.14206265237020316</v>
      </c>
      <c r="AI159" s="2">
        <f t="shared" si="36"/>
        <v>0.34394699774266363</v>
      </c>
      <c r="AJ159" s="1">
        <v>0.17457965011286683</v>
      </c>
      <c r="AK159" s="1">
        <v>0.1220342381489842</v>
      </c>
      <c r="AL159" s="4">
        <f t="shared" si="37"/>
        <v>0.29661388826185103</v>
      </c>
      <c r="AM159" s="1">
        <v>8.3598414221218956E-2</v>
      </c>
      <c r="AN159" s="4">
        <f t="shared" si="38"/>
        <v>0.38021230248306997</v>
      </c>
      <c r="AO159" s="1">
        <v>3.4007437923250568E-2</v>
      </c>
      <c r="AP159" s="1">
        <v>8.5851676072234762E-2</v>
      </c>
      <c r="AQ159" s="4">
        <f t="shared" si="39"/>
        <v>0.11985911399548532</v>
      </c>
      <c r="AR159" s="1">
        <v>0.50007141647855535</v>
      </c>
      <c r="AS159" s="1">
        <v>0.48600965011286684</v>
      </c>
      <c r="AT159" s="1">
        <v>1.391893340857786E-2</v>
      </c>
      <c r="AU159" s="1">
        <f t="shared" si="40"/>
        <v>0.11833664785553047</v>
      </c>
      <c r="AV159" s="1">
        <v>5</v>
      </c>
      <c r="AW159">
        <v>396</v>
      </c>
      <c r="AX159">
        <v>464</v>
      </c>
      <c r="AY159" s="6">
        <v>12</v>
      </c>
      <c r="AZ159" s="6">
        <v>31</v>
      </c>
      <c r="BA159" s="11">
        <f t="shared" si="41"/>
        <v>24.75</v>
      </c>
      <c r="BB159">
        <f t="shared" si="42"/>
        <v>29</v>
      </c>
      <c r="BC159">
        <f t="shared" si="43"/>
        <v>-68</v>
      </c>
      <c r="BD159">
        <f t="shared" si="44"/>
        <v>-4.25</v>
      </c>
      <c r="BE159" s="10">
        <v>6.0875578373907304</v>
      </c>
      <c r="BF159" s="6">
        <v>25.984850000000002</v>
      </c>
      <c r="BG159" s="6">
        <v>27.787199999999999</v>
      </c>
      <c r="BH159" s="6">
        <v>0.63149699999999998</v>
      </c>
      <c r="BI159" s="6">
        <v>0.60606099999999996</v>
      </c>
      <c r="BJ159" s="6"/>
      <c r="BK159" s="6" t="s">
        <v>80</v>
      </c>
      <c r="BL159" s="6" t="s">
        <v>96</v>
      </c>
      <c r="BM159" s="6" t="s">
        <v>164</v>
      </c>
      <c r="BN159" s="6" t="s">
        <v>93</v>
      </c>
    </row>
    <row r="160" spans="1:66">
      <c r="A160" s="1" t="s">
        <v>270</v>
      </c>
      <c r="B160" s="1">
        <v>2018</v>
      </c>
      <c r="C160" s="1" t="s">
        <v>140</v>
      </c>
      <c r="D160" s="1">
        <v>9704446</v>
      </c>
      <c r="E160" s="1">
        <v>6578378</v>
      </c>
      <c r="F160" s="1">
        <v>8480482</v>
      </c>
      <c r="G160" s="1">
        <v>11782366</v>
      </c>
      <c r="H160" s="2">
        <f t="shared" si="30"/>
        <v>20262848</v>
      </c>
      <c r="I160" s="2">
        <f>H160+E160</f>
        <v>26841226</v>
      </c>
      <c r="J160" s="1">
        <v>33732729</v>
      </c>
      <c r="K160" s="2">
        <f t="shared" si="31"/>
        <v>36545672</v>
      </c>
      <c r="L160" s="1">
        <v>70278401</v>
      </c>
      <c r="M160" s="1">
        <v>26799400</v>
      </c>
      <c r="N160" s="1">
        <v>19778901</v>
      </c>
      <c r="O160" s="4">
        <f t="shared" si="32"/>
        <v>46578301</v>
      </c>
      <c r="P160" s="1">
        <v>12351575</v>
      </c>
      <c r="Q160" s="4">
        <f t="shared" si="33"/>
        <v>58929876</v>
      </c>
      <c r="R160" s="1">
        <v>11696707</v>
      </c>
      <c r="S160" s="1">
        <v>20975177</v>
      </c>
      <c r="T160" s="4">
        <f t="shared" si="34"/>
        <v>32671884</v>
      </c>
      <c r="U160" s="1">
        <v>91601760</v>
      </c>
      <c r="V160" s="1">
        <v>2018</v>
      </c>
      <c r="W160" s="8">
        <v>51344033</v>
      </c>
      <c r="X160" s="1">
        <v>0.56299999999999994</v>
      </c>
      <c r="Y160" s="1">
        <v>0</v>
      </c>
      <c r="Z160" s="1">
        <v>0</v>
      </c>
      <c r="AA160" s="1">
        <v>177200000</v>
      </c>
      <c r="AB160" s="1">
        <v>5.4765496613995483E-2</v>
      </c>
      <c r="AC160" s="1">
        <v>3.7124029345372463E-2</v>
      </c>
      <c r="AD160" s="1">
        <v>4.7858250564334084E-2</v>
      </c>
      <c r="AE160" s="1">
        <v>6.6491907449209936E-2</v>
      </c>
      <c r="AF160" s="2">
        <f t="shared" si="35"/>
        <v>0.11435015801354402</v>
      </c>
      <c r="AG160" s="2">
        <f>AF160+AC160</f>
        <v>0.15147418735891649</v>
      </c>
      <c r="AH160" s="1">
        <v>0.19036528781038375</v>
      </c>
      <c r="AI160" s="2">
        <f t="shared" si="36"/>
        <v>0.20623968397291195</v>
      </c>
      <c r="AJ160" s="1">
        <v>0.15123814898419866</v>
      </c>
      <c r="AK160" s="1">
        <v>0.11161908013544018</v>
      </c>
      <c r="AL160" s="4">
        <f t="shared" si="37"/>
        <v>0.26285722911963882</v>
      </c>
      <c r="AM160" s="1">
        <v>6.9704147855530474E-2</v>
      </c>
      <c r="AN160" s="4">
        <f t="shared" si="38"/>
        <v>0.3325613769751693</v>
      </c>
      <c r="AO160" s="1">
        <v>6.6008504514672689E-2</v>
      </c>
      <c r="AP160" s="1">
        <v>0.11837007336343115</v>
      </c>
      <c r="AQ160" s="4">
        <f t="shared" si="39"/>
        <v>0.18437857787810386</v>
      </c>
      <c r="AR160" s="1">
        <v>0.51693995485327315</v>
      </c>
      <c r="AS160" s="1">
        <v>0.39660497178329573</v>
      </c>
      <c r="AT160" s="1">
        <v>8.6455073363431056E-2</v>
      </c>
      <c r="AU160" s="1">
        <f t="shared" si="40"/>
        <v>0.28975187923250562</v>
      </c>
      <c r="AV160" s="1">
        <v>9</v>
      </c>
      <c r="AW160">
        <v>310</v>
      </c>
      <c r="AX160">
        <v>303</v>
      </c>
      <c r="AY160" s="6">
        <v>27</v>
      </c>
      <c r="AZ160" s="6">
        <v>3</v>
      </c>
      <c r="BA160" s="11">
        <f t="shared" si="41"/>
        <v>19.375</v>
      </c>
      <c r="BB160">
        <f t="shared" si="42"/>
        <v>18.9375</v>
      </c>
      <c r="BC160">
        <f t="shared" si="43"/>
        <v>7</v>
      </c>
      <c r="BD160">
        <f t="shared" si="44"/>
        <v>0.4375</v>
      </c>
      <c r="BE160" s="10">
        <v>8.2658028696771595</v>
      </c>
      <c r="BF160" s="6">
        <v>26.446149999999999</v>
      </c>
      <c r="BG160" s="6">
        <v>28.083469999999998</v>
      </c>
      <c r="BH160" s="6">
        <v>0.59199599999999997</v>
      </c>
      <c r="BI160" s="6">
        <v>0.538462</v>
      </c>
      <c r="BJ160" s="6"/>
      <c r="BK160" s="6" t="s">
        <v>80</v>
      </c>
      <c r="BL160" s="6" t="s">
        <v>74</v>
      </c>
      <c r="BM160" s="6" t="s">
        <v>81</v>
      </c>
      <c r="BN160" s="6" t="s">
        <v>70</v>
      </c>
    </row>
    <row r="161" spans="1:80">
      <c r="A161" s="1" t="s">
        <v>271</v>
      </c>
      <c r="B161" s="1">
        <v>2018</v>
      </c>
      <c r="C161" s="1" t="s">
        <v>142</v>
      </c>
      <c r="D161" s="1">
        <v>22370588</v>
      </c>
      <c r="E161" s="1">
        <v>6464791</v>
      </c>
      <c r="F161" s="1">
        <v>11550945</v>
      </c>
      <c r="G161" s="1">
        <v>16639653</v>
      </c>
      <c r="H161" s="2">
        <f t="shared" si="30"/>
        <v>28190598</v>
      </c>
      <c r="I161" s="2">
        <f>H161+E161</f>
        <v>34655389</v>
      </c>
      <c r="J161" s="1">
        <v>35598047</v>
      </c>
      <c r="K161" s="2">
        <f t="shared" si="31"/>
        <v>57025977</v>
      </c>
      <c r="L161" s="1">
        <v>92624024</v>
      </c>
      <c r="M161" s="1">
        <v>11918322</v>
      </c>
      <c r="N161" s="1">
        <v>17481245</v>
      </c>
      <c r="O161" s="4">
        <f t="shared" si="32"/>
        <v>29399567</v>
      </c>
      <c r="P161" s="1">
        <v>6801489</v>
      </c>
      <c r="Q161" s="4">
        <f t="shared" si="33"/>
        <v>36201056</v>
      </c>
      <c r="R161" s="1">
        <v>5638443</v>
      </c>
      <c r="S161" s="1">
        <v>21140054</v>
      </c>
      <c r="T161" s="4">
        <f t="shared" si="34"/>
        <v>26778497</v>
      </c>
      <c r="U161" s="1">
        <v>62979553</v>
      </c>
      <c r="V161" s="1">
        <v>2018</v>
      </c>
      <c r="W161" s="8">
        <v>55268243</v>
      </c>
      <c r="X161" s="1">
        <v>0.438</v>
      </c>
      <c r="Y161" s="1">
        <v>0</v>
      </c>
      <c r="Z161" s="1">
        <v>0</v>
      </c>
      <c r="AA161" s="1">
        <v>177200000</v>
      </c>
      <c r="AB161" s="1">
        <v>0.1262448532731377</v>
      </c>
      <c r="AC161" s="1">
        <v>3.6483019187358919E-2</v>
      </c>
      <c r="AD161" s="1">
        <v>6.5185919864559821E-2</v>
      </c>
      <c r="AE161" s="1">
        <v>9.3903233634311509E-2</v>
      </c>
      <c r="AF161" s="2">
        <f t="shared" si="35"/>
        <v>0.15908915349887132</v>
      </c>
      <c r="AG161" s="2">
        <f>AF161+AC161</f>
        <v>0.19557217268623023</v>
      </c>
      <c r="AH161" s="1">
        <v>0.20089191309255078</v>
      </c>
      <c r="AI161" s="2">
        <f t="shared" si="36"/>
        <v>0.32181702595936795</v>
      </c>
      <c r="AJ161" s="1">
        <v>6.7259153498871335E-2</v>
      </c>
      <c r="AK161" s="1">
        <v>9.8652624153498875E-2</v>
      </c>
      <c r="AL161" s="4">
        <f t="shared" si="37"/>
        <v>0.1659117776523702</v>
      </c>
      <c r="AM161" s="1">
        <v>3.8383120767494359E-2</v>
      </c>
      <c r="AN161" s="4">
        <f t="shared" si="38"/>
        <v>0.20429489841986456</v>
      </c>
      <c r="AO161" s="1">
        <v>3.1819655756207675E-2</v>
      </c>
      <c r="AP161" s="1">
        <v>0.11930053047404063</v>
      </c>
      <c r="AQ161" s="4">
        <f t="shared" si="39"/>
        <v>0.15112018623024831</v>
      </c>
      <c r="AR161" s="1">
        <v>0.35541508465011284</v>
      </c>
      <c r="AS161" s="1">
        <v>0.52270893905191873</v>
      </c>
      <c r="AT161" s="1">
        <v>0.12187597629796842</v>
      </c>
      <c r="AU161" s="1">
        <f t="shared" si="40"/>
        <v>0.31189753386004515</v>
      </c>
      <c r="AV161" s="1">
        <v>7</v>
      </c>
      <c r="AW161">
        <v>281</v>
      </c>
      <c r="AX161">
        <v>359</v>
      </c>
      <c r="AY161" s="6">
        <v>29</v>
      </c>
      <c r="AZ161" s="6">
        <v>15</v>
      </c>
      <c r="BA161" s="11">
        <f t="shared" si="41"/>
        <v>17.5625</v>
      </c>
      <c r="BB161">
        <f t="shared" si="42"/>
        <v>22.4375</v>
      </c>
      <c r="BC161">
        <f t="shared" si="43"/>
        <v>-78</v>
      </c>
      <c r="BD161">
        <f t="shared" si="44"/>
        <v>-4.875</v>
      </c>
      <c r="BE161" s="10">
        <v>5.7971251664191996</v>
      </c>
      <c r="BF161" s="6">
        <v>26.272729999999999</v>
      </c>
      <c r="BG161" s="6">
        <v>28.953309999999998</v>
      </c>
      <c r="BH161" s="6">
        <v>0.68442800000000004</v>
      </c>
      <c r="BI161" s="6">
        <v>0.51948099999999997</v>
      </c>
      <c r="BJ161" s="6"/>
      <c r="BK161" s="6" t="s">
        <v>67</v>
      </c>
      <c r="BL161" s="6" t="s">
        <v>96</v>
      </c>
      <c r="BM161" s="6" t="s">
        <v>70</v>
      </c>
      <c r="BN161" s="6" t="s">
        <v>70</v>
      </c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</row>
    <row r="162" spans="1:80">
      <c r="A162" s="1" t="s">
        <v>272</v>
      </c>
      <c r="B162" s="1">
        <v>2017</v>
      </c>
      <c r="C162" s="1" t="s">
        <v>66</v>
      </c>
      <c r="D162" s="1">
        <v>29489118</v>
      </c>
      <c r="E162" s="1">
        <v>3666976</v>
      </c>
      <c r="F162" s="1">
        <v>20439056</v>
      </c>
      <c r="G162" s="1">
        <v>6097469</v>
      </c>
      <c r="H162" s="2">
        <f t="shared" si="30"/>
        <v>26536525</v>
      </c>
      <c r="I162" s="2">
        <f>H162+E162</f>
        <v>30203501</v>
      </c>
      <c r="J162" s="1">
        <v>28917997</v>
      </c>
      <c r="K162" s="2">
        <f t="shared" si="31"/>
        <v>59692619</v>
      </c>
      <c r="L162" s="1">
        <v>88610616</v>
      </c>
      <c r="M162" s="1">
        <v>11978095</v>
      </c>
      <c r="N162" s="1">
        <v>14486303</v>
      </c>
      <c r="O162" s="4">
        <f t="shared" si="32"/>
        <v>26464398</v>
      </c>
      <c r="P162" s="1">
        <v>6172044</v>
      </c>
      <c r="Q162" s="4">
        <f t="shared" si="33"/>
        <v>32636442</v>
      </c>
      <c r="R162" s="1">
        <v>15728455</v>
      </c>
      <c r="S162" s="1">
        <v>21047533</v>
      </c>
      <c r="T162" s="4">
        <f t="shared" si="34"/>
        <v>36775988</v>
      </c>
      <c r="U162" s="1">
        <v>69412430</v>
      </c>
      <c r="V162" s="1">
        <v>2017</v>
      </c>
      <c r="W162" s="8">
        <v>57220158</v>
      </c>
      <c r="X162" s="1">
        <v>0.5</v>
      </c>
      <c r="Y162" s="1">
        <v>0</v>
      </c>
      <c r="Z162" s="1">
        <v>0</v>
      </c>
      <c r="AA162" s="1">
        <v>167000000</v>
      </c>
      <c r="AB162" s="1">
        <v>0.17658154491017963</v>
      </c>
      <c r="AC162" s="1">
        <v>2.1957940119760478E-2</v>
      </c>
      <c r="AD162" s="1">
        <v>0.12238955688622755</v>
      </c>
      <c r="AE162" s="1">
        <v>3.651179041916168E-2</v>
      </c>
      <c r="AF162" s="2">
        <f t="shared" si="35"/>
        <v>0.15890134730538924</v>
      </c>
      <c r="AG162" s="2">
        <f>AF162+AC162</f>
        <v>0.18085928742514973</v>
      </c>
      <c r="AH162" s="1">
        <v>0.17316165868263472</v>
      </c>
      <c r="AI162" s="2">
        <f t="shared" si="36"/>
        <v>0.35744083233532936</v>
      </c>
      <c r="AJ162" s="1">
        <v>7.1725119760479045E-2</v>
      </c>
      <c r="AK162" s="1">
        <v>8.6744329341317372E-2</v>
      </c>
      <c r="AL162" s="4">
        <f t="shared" si="37"/>
        <v>0.15846944910179642</v>
      </c>
      <c r="AM162" s="1">
        <v>3.6958347305389223E-2</v>
      </c>
      <c r="AN162" s="4">
        <f t="shared" si="38"/>
        <v>0.19542779640718563</v>
      </c>
      <c r="AO162" s="1">
        <v>9.4182365269461082E-2</v>
      </c>
      <c r="AP162" s="1">
        <v>0.12603313173652694</v>
      </c>
      <c r="AQ162" s="4">
        <f t="shared" si="39"/>
        <v>0.22021549700598803</v>
      </c>
      <c r="AR162" s="1">
        <v>0.41564329341317363</v>
      </c>
      <c r="AS162" s="1">
        <v>0.53060249101796408</v>
      </c>
      <c r="AT162" s="1">
        <v>5.3754215568862285E-2</v>
      </c>
      <c r="AU162" s="1">
        <f t="shared" si="40"/>
        <v>0.34263567664670658</v>
      </c>
      <c r="AV162" s="1">
        <v>8</v>
      </c>
      <c r="AW162">
        <v>295</v>
      </c>
      <c r="AX162">
        <v>361</v>
      </c>
      <c r="AY162" s="6">
        <v>25</v>
      </c>
      <c r="AZ162" s="6">
        <v>19</v>
      </c>
      <c r="BA162" s="11">
        <f t="shared" si="41"/>
        <v>18.4375</v>
      </c>
      <c r="BB162">
        <f t="shared" si="42"/>
        <v>22.5625</v>
      </c>
      <c r="BC162">
        <f t="shared" si="43"/>
        <v>-66</v>
      </c>
      <c r="BD162">
        <f t="shared" si="44"/>
        <v>-4.125</v>
      </c>
      <c r="BE162" s="10">
        <v>6.1456443715850302</v>
      </c>
      <c r="BF162" s="6">
        <v>27.294119999999999</v>
      </c>
      <c r="BG162" s="6">
        <v>30.248719999999999</v>
      </c>
      <c r="BH162" s="6">
        <v>0.66206699999999996</v>
      </c>
      <c r="BI162" s="6">
        <v>0.57352899999999996</v>
      </c>
      <c r="BJ162" s="6"/>
      <c r="BK162" s="6" t="s">
        <v>67</v>
      </c>
      <c r="BL162" s="6" t="s">
        <v>96</v>
      </c>
      <c r="BM162" s="6" t="s">
        <v>70</v>
      </c>
      <c r="BN162" s="6" t="s">
        <v>70</v>
      </c>
    </row>
    <row r="163" spans="1:80">
      <c r="A163" s="1" t="s">
        <v>273</v>
      </c>
      <c r="B163" s="1">
        <v>2017</v>
      </c>
      <c r="C163" s="1" t="s">
        <v>72</v>
      </c>
      <c r="D163" s="1">
        <v>27422800</v>
      </c>
      <c r="E163" s="1">
        <v>5928217</v>
      </c>
      <c r="F163" s="1">
        <v>28103286</v>
      </c>
      <c r="G163" s="1">
        <v>4019531</v>
      </c>
      <c r="H163" s="2">
        <f t="shared" si="30"/>
        <v>32122817</v>
      </c>
      <c r="I163" s="2">
        <f>H163+E163</f>
        <v>38051034</v>
      </c>
      <c r="J163" s="1">
        <v>25953036</v>
      </c>
      <c r="K163" s="2">
        <f t="shared" si="31"/>
        <v>65473834</v>
      </c>
      <c r="L163" s="1">
        <v>91426870</v>
      </c>
      <c r="M163" s="1">
        <v>11309437</v>
      </c>
      <c r="N163" s="1">
        <v>18256298</v>
      </c>
      <c r="O163" s="4">
        <f t="shared" si="32"/>
        <v>29565735</v>
      </c>
      <c r="P163" s="1">
        <v>8512929</v>
      </c>
      <c r="Q163" s="4">
        <f t="shared" si="33"/>
        <v>38078664</v>
      </c>
      <c r="R163" s="1">
        <v>6556132</v>
      </c>
      <c r="S163" s="1">
        <v>15535401</v>
      </c>
      <c r="T163" s="4">
        <f t="shared" si="34"/>
        <v>22091533</v>
      </c>
      <c r="U163" s="1">
        <v>60170197</v>
      </c>
      <c r="V163" s="1">
        <v>2017</v>
      </c>
      <c r="W163" s="8">
        <v>10460779</v>
      </c>
      <c r="X163" s="1">
        <v>0.625</v>
      </c>
      <c r="Y163" s="1">
        <v>1</v>
      </c>
      <c r="Z163" s="1">
        <v>0</v>
      </c>
      <c r="AA163" s="1">
        <v>167000000</v>
      </c>
      <c r="AB163" s="1">
        <v>0.16420838323353293</v>
      </c>
      <c r="AC163" s="1">
        <v>3.5498305389221559E-2</v>
      </c>
      <c r="AD163" s="1">
        <v>0.16828314970059879</v>
      </c>
      <c r="AE163" s="1">
        <v>2.4069047904191617E-2</v>
      </c>
      <c r="AF163" s="2">
        <f t="shared" si="35"/>
        <v>0.19235219760479041</v>
      </c>
      <c r="AG163" s="2">
        <f>AF163+AC163</f>
        <v>0.22785050299401197</v>
      </c>
      <c r="AH163" s="1">
        <v>0.15540740119760479</v>
      </c>
      <c r="AI163" s="2">
        <f t="shared" si="36"/>
        <v>0.39205888622754492</v>
      </c>
      <c r="AJ163" s="1">
        <v>6.7721179640718568E-2</v>
      </c>
      <c r="AK163" s="1">
        <v>0.10931914970059881</v>
      </c>
      <c r="AL163" s="4">
        <f t="shared" si="37"/>
        <v>0.17704032934131736</v>
      </c>
      <c r="AM163" s="1">
        <v>5.0975622754491016E-2</v>
      </c>
      <c r="AN163" s="4">
        <f t="shared" si="38"/>
        <v>0.22801595209580838</v>
      </c>
      <c r="AO163" s="1">
        <v>3.92582754491018E-2</v>
      </c>
      <c r="AP163" s="1">
        <v>9.3026353293413175E-2</v>
      </c>
      <c r="AQ163" s="4">
        <f t="shared" si="39"/>
        <v>0.13228462874251498</v>
      </c>
      <c r="AR163" s="1">
        <v>0.36030058083832334</v>
      </c>
      <c r="AS163" s="1">
        <v>0.54746628742514969</v>
      </c>
      <c r="AT163" s="1">
        <v>9.223313173652703E-2</v>
      </c>
      <c r="AU163" s="1">
        <f t="shared" si="40"/>
        <v>6.2639395209580839E-2</v>
      </c>
      <c r="AV163" s="1">
        <v>10</v>
      </c>
      <c r="AW163">
        <v>353</v>
      </c>
      <c r="AX163">
        <v>315</v>
      </c>
      <c r="AY163" s="6">
        <v>15</v>
      </c>
      <c r="AZ163" s="6">
        <v>8</v>
      </c>
      <c r="BA163" s="11">
        <f t="shared" si="41"/>
        <v>22.0625</v>
      </c>
      <c r="BB163">
        <f t="shared" si="42"/>
        <v>19.6875</v>
      </c>
      <c r="BC163">
        <f t="shared" si="43"/>
        <v>38</v>
      </c>
      <c r="BD163">
        <f t="shared" si="44"/>
        <v>2.375</v>
      </c>
      <c r="BE163" s="10">
        <v>9.1661441496888898</v>
      </c>
      <c r="BF163" s="6">
        <v>26.762709999999998</v>
      </c>
      <c r="BG163" s="6">
        <v>28.713370000000001</v>
      </c>
      <c r="BH163" s="6">
        <v>0.60742600000000002</v>
      </c>
      <c r="BI163" s="6">
        <v>0.67796599999999996</v>
      </c>
      <c r="BJ163" s="6"/>
      <c r="BK163" s="6" t="s">
        <v>67</v>
      </c>
      <c r="BL163" s="6" t="s">
        <v>68</v>
      </c>
      <c r="BM163" s="6" t="s">
        <v>69</v>
      </c>
      <c r="BN163" s="6" t="s">
        <v>70</v>
      </c>
    </row>
    <row r="164" spans="1:80">
      <c r="A164" s="1" t="s">
        <v>274</v>
      </c>
      <c r="B164" s="1">
        <v>2017</v>
      </c>
      <c r="C164" s="1" t="s">
        <v>77</v>
      </c>
      <c r="D164" s="1">
        <v>26742000</v>
      </c>
      <c r="E164" s="1">
        <v>5270289</v>
      </c>
      <c r="F164" s="1">
        <v>16212624</v>
      </c>
      <c r="G164" s="1">
        <v>5393387</v>
      </c>
      <c r="H164" s="2">
        <f t="shared" si="30"/>
        <v>21606011</v>
      </c>
      <c r="I164" s="2">
        <f>H164+E164</f>
        <v>26876300</v>
      </c>
      <c r="J164" s="1">
        <v>23346656</v>
      </c>
      <c r="K164" s="2">
        <f t="shared" si="31"/>
        <v>53618300</v>
      </c>
      <c r="L164" s="1">
        <v>76964956</v>
      </c>
      <c r="M164" s="1">
        <v>8142163</v>
      </c>
      <c r="N164" s="1">
        <v>11289373</v>
      </c>
      <c r="O164" s="4">
        <f t="shared" si="32"/>
        <v>19431536</v>
      </c>
      <c r="P164" s="1">
        <v>5332555</v>
      </c>
      <c r="Q164" s="4">
        <f t="shared" si="33"/>
        <v>24764091</v>
      </c>
      <c r="R164" s="1">
        <v>12619611</v>
      </c>
      <c r="S164" s="1">
        <v>15031988</v>
      </c>
      <c r="T164" s="4">
        <f t="shared" si="34"/>
        <v>27651599</v>
      </c>
      <c r="U164" s="1">
        <v>52415690</v>
      </c>
      <c r="V164" s="1">
        <v>2017</v>
      </c>
      <c r="W164" s="8">
        <v>24654481</v>
      </c>
      <c r="X164" s="1">
        <v>0.56299999999999994</v>
      </c>
      <c r="Y164" s="1">
        <v>0</v>
      </c>
      <c r="Z164" s="1">
        <v>0</v>
      </c>
      <c r="AA164" s="1">
        <v>167000000</v>
      </c>
      <c r="AB164" s="1">
        <v>0.16013173652694609</v>
      </c>
      <c r="AC164" s="1">
        <v>3.1558616766467068E-2</v>
      </c>
      <c r="AD164" s="1">
        <v>9.7081580838323356E-2</v>
      </c>
      <c r="AE164" s="1">
        <v>3.2295730538922159E-2</v>
      </c>
      <c r="AF164" s="2">
        <f t="shared" si="35"/>
        <v>0.12937731137724551</v>
      </c>
      <c r="AG164" s="2">
        <f>AF164+AC164</f>
        <v>0.16093592814371258</v>
      </c>
      <c r="AH164" s="1">
        <v>0.13980033532934133</v>
      </c>
      <c r="AI164" s="2">
        <f t="shared" si="36"/>
        <v>0.32106766467065867</v>
      </c>
      <c r="AJ164" s="1">
        <v>4.8755467065868266E-2</v>
      </c>
      <c r="AK164" s="1">
        <v>6.7601035928143718E-2</v>
      </c>
      <c r="AL164" s="4">
        <f t="shared" si="37"/>
        <v>0.11635650299401198</v>
      </c>
      <c r="AM164" s="1">
        <v>3.193146706586826E-2</v>
      </c>
      <c r="AN164" s="4">
        <f t="shared" si="38"/>
        <v>0.14828797005988026</v>
      </c>
      <c r="AO164" s="1">
        <v>7.5566532934131736E-2</v>
      </c>
      <c r="AP164" s="1">
        <v>9.0011904191616768E-2</v>
      </c>
      <c r="AQ164" s="4">
        <f t="shared" si="39"/>
        <v>0.16557843712574849</v>
      </c>
      <c r="AR164" s="1">
        <v>0.31386640718562875</v>
      </c>
      <c r="AS164" s="1">
        <v>0.460868</v>
      </c>
      <c r="AT164" s="1">
        <v>0.2252655928143712</v>
      </c>
      <c r="AU164" s="1">
        <f t="shared" si="40"/>
        <v>0.14763162275449102</v>
      </c>
      <c r="AV164" s="1">
        <v>9</v>
      </c>
      <c r="AW164">
        <v>395</v>
      </c>
      <c r="AX164">
        <v>303</v>
      </c>
      <c r="AY164" s="6">
        <v>9</v>
      </c>
      <c r="AZ164" s="6">
        <v>6</v>
      </c>
      <c r="BA164" s="11">
        <f t="shared" si="41"/>
        <v>24.6875</v>
      </c>
      <c r="BB164">
        <f t="shared" si="42"/>
        <v>18.9375</v>
      </c>
      <c r="BC164">
        <f t="shared" si="43"/>
        <v>92</v>
      </c>
      <c r="BD164">
        <f t="shared" si="44"/>
        <v>5.75</v>
      </c>
      <c r="BE164" s="10">
        <v>10.7344805729351</v>
      </c>
      <c r="BF164" s="6">
        <v>26.3</v>
      </c>
      <c r="BG164" s="6">
        <v>29.18852</v>
      </c>
      <c r="BH164" s="6">
        <v>0.59965000000000002</v>
      </c>
      <c r="BI164" s="6">
        <v>0.614286</v>
      </c>
      <c r="BJ164" s="6"/>
      <c r="BK164" s="6" t="s">
        <v>67</v>
      </c>
      <c r="BL164" s="6" t="s">
        <v>68</v>
      </c>
      <c r="BM164" s="6" t="s">
        <v>69</v>
      </c>
      <c r="BN164" s="6" t="s">
        <v>70</v>
      </c>
    </row>
    <row r="165" spans="1:80">
      <c r="A165" s="1" t="s">
        <v>275</v>
      </c>
      <c r="B165" s="1">
        <v>2017</v>
      </c>
      <c r="C165" s="1" t="s">
        <v>79</v>
      </c>
      <c r="D165" s="1">
        <v>10238211</v>
      </c>
      <c r="E165" s="1">
        <v>11190118</v>
      </c>
      <c r="F165" s="1">
        <v>6496909</v>
      </c>
      <c r="G165" s="1">
        <v>11467859</v>
      </c>
      <c r="H165" s="2">
        <f t="shared" si="30"/>
        <v>17964768</v>
      </c>
      <c r="I165" s="2">
        <f>H165+E165</f>
        <v>29154886</v>
      </c>
      <c r="J165" s="1">
        <v>35796366</v>
      </c>
      <c r="K165" s="2">
        <f t="shared" si="31"/>
        <v>39393097</v>
      </c>
      <c r="L165" s="1">
        <v>75189463</v>
      </c>
      <c r="M165" s="1">
        <v>10325927</v>
      </c>
      <c r="N165" s="1">
        <v>13718331</v>
      </c>
      <c r="O165" s="4">
        <f t="shared" si="32"/>
        <v>24044258</v>
      </c>
      <c r="P165" s="1">
        <v>7077973</v>
      </c>
      <c r="Q165" s="4">
        <f t="shared" si="33"/>
        <v>31122231</v>
      </c>
      <c r="R165" s="1">
        <v>7686153</v>
      </c>
      <c r="S165" s="1">
        <v>5801497</v>
      </c>
      <c r="T165" s="4">
        <f t="shared" si="34"/>
        <v>13487650</v>
      </c>
      <c r="U165" s="1">
        <v>44609881</v>
      </c>
      <c r="V165" s="1">
        <v>2017</v>
      </c>
      <c r="W165" s="8">
        <v>20683295</v>
      </c>
      <c r="X165" s="1">
        <v>0.56299999999999994</v>
      </c>
      <c r="Y165" s="1">
        <v>1</v>
      </c>
      <c r="Z165" s="1">
        <v>0</v>
      </c>
      <c r="AA165" s="1">
        <v>167000000</v>
      </c>
      <c r="AB165" s="1">
        <v>6.1306652694610782E-2</v>
      </c>
      <c r="AC165" s="1">
        <v>6.7006694610778447E-2</v>
      </c>
      <c r="AD165" s="1">
        <v>3.8903646706586824E-2</v>
      </c>
      <c r="AE165" s="1">
        <v>6.8669814371257479E-2</v>
      </c>
      <c r="AF165" s="2">
        <f t="shared" si="35"/>
        <v>0.1075734610778443</v>
      </c>
      <c r="AG165" s="2">
        <f>AF165+AC165</f>
        <v>0.17458015568862273</v>
      </c>
      <c r="AH165" s="1">
        <v>0.21434949700598802</v>
      </c>
      <c r="AI165" s="2">
        <f t="shared" si="36"/>
        <v>0.23588680838323356</v>
      </c>
      <c r="AJ165" s="1">
        <v>6.1831898203592812E-2</v>
      </c>
      <c r="AK165" s="1">
        <v>8.2145694610778447E-2</v>
      </c>
      <c r="AL165" s="4">
        <f t="shared" si="37"/>
        <v>0.14397759281437125</v>
      </c>
      <c r="AM165" s="1">
        <v>4.2383071856287424E-2</v>
      </c>
      <c r="AN165" s="4">
        <f t="shared" si="38"/>
        <v>0.18636066467065868</v>
      </c>
      <c r="AO165" s="1">
        <v>4.6024868263473052E-2</v>
      </c>
      <c r="AP165" s="1">
        <v>3.4739502994011975E-2</v>
      </c>
      <c r="AQ165" s="4">
        <f t="shared" si="39"/>
        <v>8.0764371257485035E-2</v>
      </c>
      <c r="AR165" s="1">
        <v>0.26712503592814374</v>
      </c>
      <c r="AS165" s="1">
        <v>0.45023630538922155</v>
      </c>
      <c r="AT165" s="1">
        <v>0.28263865868263471</v>
      </c>
      <c r="AU165" s="1">
        <f t="shared" si="40"/>
        <v>0.12385206586826347</v>
      </c>
      <c r="AV165" s="1">
        <v>9</v>
      </c>
      <c r="AW165">
        <v>302</v>
      </c>
      <c r="AX165">
        <v>359</v>
      </c>
      <c r="AY165" s="6">
        <v>22</v>
      </c>
      <c r="AZ165" s="6">
        <v>18</v>
      </c>
      <c r="BA165" s="11">
        <f t="shared" si="41"/>
        <v>18.875</v>
      </c>
      <c r="BB165">
        <f t="shared" si="42"/>
        <v>22.4375</v>
      </c>
      <c r="BC165">
        <f t="shared" si="43"/>
        <v>-57</v>
      </c>
      <c r="BD165">
        <f t="shared" si="44"/>
        <v>-3.5625</v>
      </c>
      <c r="BE165" s="10">
        <v>6.4070337754594098</v>
      </c>
      <c r="BF165" s="6">
        <v>26.716670000000001</v>
      </c>
      <c r="BG165" s="6">
        <v>28.57433</v>
      </c>
      <c r="BH165" s="6">
        <v>0.63115600000000005</v>
      </c>
      <c r="BI165" s="6">
        <v>0.36666700000000002</v>
      </c>
      <c r="BJ165" s="6"/>
      <c r="BK165" s="6" t="s">
        <v>67</v>
      </c>
      <c r="BL165" s="6" t="s">
        <v>96</v>
      </c>
      <c r="BM165" s="6" t="s">
        <v>70</v>
      </c>
      <c r="BN165" s="6" t="s">
        <v>70</v>
      </c>
    </row>
    <row r="166" spans="1:80">
      <c r="A166" s="1" t="s">
        <v>276</v>
      </c>
      <c r="B166" s="1">
        <v>2017</v>
      </c>
      <c r="C166" s="1" t="s">
        <v>83</v>
      </c>
      <c r="D166" s="1">
        <v>22710632</v>
      </c>
      <c r="E166" s="1">
        <v>11316345</v>
      </c>
      <c r="F166" s="1">
        <v>7593965</v>
      </c>
      <c r="G166" s="1">
        <v>15861068</v>
      </c>
      <c r="H166" s="2">
        <f t="shared" si="30"/>
        <v>23455033</v>
      </c>
      <c r="I166" s="2">
        <f>H166+E166</f>
        <v>34771378</v>
      </c>
      <c r="J166" s="1">
        <v>22836833</v>
      </c>
      <c r="K166" s="2">
        <f t="shared" si="31"/>
        <v>57482010</v>
      </c>
      <c r="L166" s="1">
        <v>80318843</v>
      </c>
      <c r="M166" s="1">
        <v>19975799</v>
      </c>
      <c r="N166" s="1">
        <v>14930437</v>
      </c>
      <c r="O166" s="4">
        <f t="shared" si="32"/>
        <v>34906236</v>
      </c>
      <c r="P166" s="1">
        <v>27237850</v>
      </c>
      <c r="Q166" s="4">
        <f t="shared" si="33"/>
        <v>62144086</v>
      </c>
      <c r="R166" s="1">
        <v>7693071</v>
      </c>
      <c r="S166" s="1">
        <v>6607630</v>
      </c>
      <c r="T166" s="4">
        <f t="shared" si="34"/>
        <v>14300701</v>
      </c>
      <c r="U166" s="1">
        <v>76444787</v>
      </c>
      <c r="V166" s="1">
        <v>2017</v>
      </c>
      <c r="W166" s="8">
        <v>18955036</v>
      </c>
      <c r="X166" s="1">
        <v>0.68799999999999994</v>
      </c>
      <c r="Y166" s="1">
        <v>1</v>
      </c>
      <c r="Z166" s="1">
        <v>0</v>
      </c>
      <c r="AA166" s="1">
        <v>167000000</v>
      </c>
      <c r="AB166" s="1">
        <v>0.13599180838323352</v>
      </c>
      <c r="AC166" s="1">
        <v>6.7762544910179634E-2</v>
      </c>
      <c r="AD166" s="1">
        <v>4.5472844311377249E-2</v>
      </c>
      <c r="AE166" s="1">
        <v>9.4976455089820361E-2</v>
      </c>
      <c r="AF166" s="2">
        <f t="shared" si="35"/>
        <v>0.1404492994011976</v>
      </c>
      <c r="AG166" s="2">
        <f>AF166+AC166</f>
        <v>0.20821184431137724</v>
      </c>
      <c r="AH166" s="1">
        <v>0.13674750299401198</v>
      </c>
      <c r="AI166" s="2">
        <f t="shared" si="36"/>
        <v>0.34420365269461073</v>
      </c>
      <c r="AJ166" s="1">
        <v>0.1196155628742515</v>
      </c>
      <c r="AK166" s="1">
        <v>8.9403814371257481E-2</v>
      </c>
      <c r="AL166" s="4">
        <f t="shared" si="37"/>
        <v>0.20901937724550898</v>
      </c>
      <c r="AM166" s="1">
        <v>0.1631008982035928</v>
      </c>
      <c r="AN166" s="4">
        <f t="shared" si="38"/>
        <v>0.37212027544910176</v>
      </c>
      <c r="AO166" s="1">
        <v>4.6066293413173649E-2</v>
      </c>
      <c r="AP166" s="1">
        <v>3.9566646706586828E-2</v>
      </c>
      <c r="AQ166" s="4">
        <f t="shared" si="39"/>
        <v>8.563294011976047E-2</v>
      </c>
      <c r="AR166" s="1">
        <v>0.45775321556886228</v>
      </c>
      <c r="AS166" s="1">
        <v>0.48095115568862273</v>
      </c>
      <c r="AT166" s="1">
        <v>6.129562874251504E-2</v>
      </c>
      <c r="AU166" s="1">
        <f t="shared" si="40"/>
        <v>0.11350320958083833</v>
      </c>
      <c r="AV166" s="1">
        <v>11</v>
      </c>
      <c r="AW166">
        <v>363</v>
      </c>
      <c r="AX166">
        <v>327</v>
      </c>
      <c r="AY166" s="6">
        <v>12</v>
      </c>
      <c r="AZ166" s="6">
        <v>11</v>
      </c>
      <c r="BA166" s="11">
        <f t="shared" si="41"/>
        <v>22.6875</v>
      </c>
      <c r="BB166">
        <f t="shared" si="42"/>
        <v>20.4375</v>
      </c>
      <c r="BC166">
        <f t="shared" si="43"/>
        <v>36</v>
      </c>
      <c r="BD166">
        <f t="shared" si="44"/>
        <v>2.25</v>
      </c>
      <c r="BE166" s="10">
        <v>9.1080576154945803</v>
      </c>
      <c r="BF166" s="6">
        <v>26.70149</v>
      </c>
      <c r="BG166" s="6">
        <v>28.636220000000002</v>
      </c>
      <c r="BH166" s="6">
        <v>0.62262300000000004</v>
      </c>
      <c r="BI166" s="6">
        <v>0.58209</v>
      </c>
      <c r="BJ166" s="6"/>
      <c r="BK166" s="6" t="s">
        <v>67</v>
      </c>
      <c r="BL166" s="6" t="s">
        <v>68</v>
      </c>
      <c r="BM166" s="6" t="s">
        <v>69</v>
      </c>
      <c r="BN166" s="6" t="s">
        <v>70</v>
      </c>
    </row>
    <row r="167" spans="1:80">
      <c r="A167" s="1" t="s">
        <v>277</v>
      </c>
      <c r="B167" s="1">
        <v>2017</v>
      </c>
      <c r="C167" s="1" t="s">
        <v>85</v>
      </c>
      <c r="D167" s="1">
        <v>21278625</v>
      </c>
      <c r="E167" s="1">
        <v>2385295</v>
      </c>
      <c r="F167" s="1">
        <v>14645439</v>
      </c>
      <c r="G167" s="1">
        <v>10633090</v>
      </c>
      <c r="H167" s="2">
        <f t="shared" si="30"/>
        <v>25278529</v>
      </c>
      <c r="I167" s="2">
        <f>H167+E167</f>
        <v>27663824</v>
      </c>
      <c r="J167" s="1">
        <v>31878770</v>
      </c>
      <c r="K167" s="2">
        <f t="shared" si="31"/>
        <v>48942449</v>
      </c>
      <c r="L167" s="1">
        <v>80821219</v>
      </c>
      <c r="M167" s="1">
        <v>14795376</v>
      </c>
      <c r="N167" s="1">
        <v>16993112</v>
      </c>
      <c r="O167" s="4">
        <f t="shared" si="32"/>
        <v>31788488</v>
      </c>
      <c r="P167" s="1">
        <v>11977212</v>
      </c>
      <c r="Q167" s="4">
        <f t="shared" si="33"/>
        <v>43765700</v>
      </c>
      <c r="R167" s="1">
        <v>7234912</v>
      </c>
      <c r="S167" s="1">
        <v>17788027</v>
      </c>
      <c r="T167" s="4">
        <f t="shared" si="34"/>
        <v>25022939</v>
      </c>
      <c r="U167" s="1">
        <v>68788639</v>
      </c>
      <c r="V167" s="1">
        <v>2017</v>
      </c>
      <c r="W167" s="8">
        <v>43846918</v>
      </c>
      <c r="X167" s="1">
        <v>0.313</v>
      </c>
      <c r="Y167" s="1">
        <v>0</v>
      </c>
      <c r="Z167" s="1">
        <v>0</v>
      </c>
      <c r="AA167" s="1">
        <v>167000000</v>
      </c>
      <c r="AB167" s="1">
        <v>0.12741691616766468</v>
      </c>
      <c r="AC167" s="1">
        <v>1.4283203592814372E-2</v>
      </c>
      <c r="AD167" s="1">
        <v>8.7697239520958079E-2</v>
      </c>
      <c r="AE167" s="1">
        <v>6.3671197604790425E-2</v>
      </c>
      <c r="AF167" s="2">
        <f t="shared" si="35"/>
        <v>0.15136843712574849</v>
      </c>
      <c r="AG167" s="2">
        <f>AF167+AC167</f>
        <v>0.16565164071856286</v>
      </c>
      <c r="AH167" s="1">
        <v>0.1908908383233533</v>
      </c>
      <c r="AI167" s="2">
        <f t="shared" si="36"/>
        <v>0.29306855688622757</v>
      </c>
      <c r="AJ167" s="1">
        <v>8.8595065868263476E-2</v>
      </c>
      <c r="AK167" s="1">
        <v>0.10175516167664671</v>
      </c>
      <c r="AL167" s="4">
        <f t="shared" si="37"/>
        <v>0.19035022754491018</v>
      </c>
      <c r="AM167" s="1">
        <v>7.1719832335329345E-2</v>
      </c>
      <c r="AN167" s="4">
        <f t="shared" si="38"/>
        <v>0.26207005988023951</v>
      </c>
      <c r="AO167" s="1">
        <v>4.3322826347305388E-2</v>
      </c>
      <c r="AP167" s="1">
        <v>0.10651513173652695</v>
      </c>
      <c r="AQ167" s="4">
        <f t="shared" si="39"/>
        <v>0.14983795808383232</v>
      </c>
      <c r="AR167" s="1">
        <v>0.41190801796407184</v>
      </c>
      <c r="AS167" s="1">
        <v>0.48395939520958081</v>
      </c>
      <c r="AT167" s="1">
        <v>0.10413258682634741</v>
      </c>
      <c r="AU167" s="1">
        <f t="shared" si="40"/>
        <v>0.26255639520958085</v>
      </c>
      <c r="AV167" s="1">
        <v>5</v>
      </c>
      <c r="AW167">
        <v>264</v>
      </c>
      <c r="AX167">
        <v>320</v>
      </c>
      <c r="AY167" s="6">
        <v>29</v>
      </c>
      <c r="AZ167" s="6">
        <v>9</v>
      </c>
      <c r="BA167" s="11">
        <f t="shared" si="41"/>
        <v>16.5</v>
      </c>
      <c r="BB167">
        <f t="shared" si="42"/>
        <v>20</v>
      </c>
      <c r="BC167">
        <f t="shared" si="43"/>
        <v>-56</v>
      </c>
      <c r="BD167">
        <f t="shared" si="44"/>
        <v>-3.5</v>
      </c>
      <c r="BE167" s="10">
        <v>6.4360770425565601</v>
      </c>
      <c r="BF167" s="6">
        <v>26.485289999999999</v>
      </c>
      <c r="BG167" s="6">
        <v>27.567640000000001</v>
      </c>
      <c r="BH167" s="6">
        <v>0.58649499999999999</v>
      </c>
      <c r="BI167" s="6">
        <v>0.57352899999999996</v>
      </c>
      <c r="BJ167" s="6"/>
      <c r="BK167" s="6" t="s">
        <v>73</v>
      </c>
      <c r="BL167" s="6" t="s">
        <v>74</v>
      </c>
      <c r="BM167" s="6" t="s">
        <v>75</v>
      </c>
      <c r="BN167" s="6" t="s">
        <v>75</v>
      </c>
    </row>
    <row r="168" spans="1:80">
      <c r="A168" s="1" t="s">
        <v>278</v>
      </c>
      <c r="B168" s="1">
        <v>2017</v>
      </c>
      <c r="C168" s="1" t="s">
        <v>87</v>
      </c>
      <c r="D168" s="1">
        <v>16798413</v>
      </c>
      <c r="E168" s="1">
        <v>7569296</v>
      </c>
      <c r="F168" s="1">
        <v>24430688</v>
      </c>
      <c r="G168" s="1">
        <v>9413806</v>
      </c>
      <c r="H168" s="2">
        <f t="shared" si="30"/>
        <v>33844494</v>
      </c>
      <c r="I168" s="2">
        <f>H168+E168</f>
        <v>41413790</v>
      </c>
      <c r="J168" s="1">
        <v>17262341</v>
      </c>
      <c r="K168" s="2">
        <f t="shared" si="31"/>
        <v>58212203</v>
      </c>
      <c r="L168" s="1">
        <v>75474544</v>
      </c>
      <c r="M168" s="1">
        <v>12361126</v>
      </c>
      <c r="N168" s="1">
        <v>14384255</v>
      </c>
      <c r="O168" s="4">
        <f t="shared" si="32"/>
        <v>26745381</v>
      </c>
      <c r="P168" s="1">
        <v>17613896</v>
      </c>
      <c r="Q168" s="4">
        <f t="shared" si="33"/>
        <v>44359277</v>
      </c>
      <c r="R168" s="1">
        <v>10969118</v>
      </c>
      <c r="S168" s="1">
        <v>22900422</v>
      </c>
      <c r="T168" s="4">
        <f t="shared" si="34"/>
        <v>33869540</v>
      </c>
      <c r="U168" s="1">
        <v>78228817</v>
      </c>
      <c r="V168" s="1">
        <v>2017</v>
      </c>
      <c r="W168" s="8">
        <v>29451628</v>
      </c>
      <c r="X168" s="1">
        <v>0.438</v>
      </c>
      <c r="Y168" s="1">
        <v>0</v>
      </c>
      <c r="Z168" s="1">
        <v>0</v>
      </c>
      <c r="AA168" s="1">
        <v>167000000</v>
      </c>
      <c r="AB168" s="1">
        <v>0.10058929940119761</v>
      </c>
      <c r="AC168" s="1">
        <v>4.5325125748502997E-2</v>
      </c>
      <c r="AD168" s="1">
        <v>0.14629154491017965</v>
      </c>
      <c r="AE168" s="1">
        <v>5.637009580838323E-2</v>
      </c>
      <c r="AF168" s="2">
        <f t="shared" si="35"/>
        <v>0.20266164071856288</v>
      </c>
      <c r="AG168" s="2">
        <f>AF168+AC168</f>
        <v>0.24798676646706588</v>
      </c>
      <c r="AH168" s="1">
        <v>0.1033673113772455</v>
      </c>
      <c r="AI168" s="2">
        <f t="shared" si="36"/>
        <v>0.34857606586826351</v>
      </c>
      <c r="AJ168" s="1">
        <v>7.4018718562874258E-2</v>
      </c>
      <c r="AK168" s="1">
        <v>8.6133263473053889E-2</v>
      </c>
      <c r="AL168" s="4">
        <f t="shared" si="37"/>
        <v>0.16015198203592815</v>
      </c>
      <c r="AM168" s="1">
        <v>0.10547243113772455</v>
      </c>
      <c r="AN168" s="4">
        <f t="shared" si="38"/>
        <v>0.26562441317365271</v>
      </c>
      <c r="AO168" s="1">
        <v>6.5683341317365265E-2</v>
      </c>
      <c r="AP168" s="1">
        <v>0.13712827544910181</v>
      </c>
      <c r="AQ168" s="4">
        <f t="shared" si="39"/>
        <v>0.20281161676646708</v>
      </c>
      <c r="AR168" s="1">
        <v>0.46843602994011974</v>
      </c>
      <c r="AS168" s="1">
        <v>0.45194337724550898</v>
      </c>
      <c r="AT168" s="1">
        <v>7.9620592814371283E-2</v>
      </c>
      <c r="AU168" s="1">
        <f t="shared" si="40"/>
        <v>0.17635705389221557</v>
      </c>
      <c r="AV168" s="1">
        <v>7</v>
      </c>
      <c r="AW168">
        <v>290</v>
      </c>
      <c r="AX168">
        <v>349</v>
      </c>
      <c r="AY168" s="6">
        <v>26</v>
      </c>
      <c r="AZ168" s="6">
        <v>16</v>
      </c>
      <c r="BA168" s="11">
        <f t="shared" si="41"/>
        <v>18.125</v>
      </c>
      <c r="BB168">
        <f t="shared" si="42"/>
        <v>21.8125</v>
      </c>
      <c r="BC168">
        <f t="shared" si="43"/>
        <v>-59</v>
      </c>
      <c r="BD168">
        <f t="shared" si="44"/>
        <v>-3.6875</v>
      </c>
      <c r="BE168" s="10">
        <v>6.3489472412651002</v>
      </c>
      <c r="BF168" s="6">
        <v>25.828130000000002</v>
      </c>
      <c r="BG168" s="6">
        <v>28.011970000000002</v>
      </c>
      <c r="BH168" s="6">
        <v>0.61407999999999996</v>
      </c>
      <c r="BI168" s="6">
        <v>0.671875</v>
      </c>
      <c r="BJ168" s="6"/>
      <c r="BK168" s="6" t="s">
        <v>80</v>
      </c>
      <c r="BL168" s="6" t="s">
        <v>68</v>
      </c>
      <c r="BM168" s="6" t="s">
        <v>92</v>
      </c>
      <c r="BN168" s="6" t="s">
        <v>93</v>
      </c>
    </row>
    <row r="169" spans="1:80">
      <c r="A169" s="1" t="s">
        <v>279</v>
      </c>
      <c r="B169" s="1">
        <v>2017</v>
      </c>
      <c r="C169" s="1" t="s">
        <v>89</v>
      </c>
      <c r="D169" s="1">
        <v>2209957</v>
      </c>
      <c r="E169" s="1">
        <v>4470494</v>
      </c>
      <c r="F169" s="1">
        <v>5198547</v>
      </c>
      <c r="G169" s="1">
        <v>3254760</v>
      </c>
      <c r="H169" s="2">
        <f t="shared" si="30"/>
        <v>8453307</v>
      </c>
      <c r="I169" s="2">
        <f>H169+E169</f>
        <v>12923801</v>
      </c>
      <c r="J169" s="1">
        <v>41615803</v>
      </c>
      <c r="K169" s="2">
        <f t="shared" si="31"/>
        <v>15133758</v>
      </c>
      <c r="L169" s="1">
        <v>56749561</v>
      </c>
      <c r="M169" s="1">
        <v>5528898</v>
      </c>
      <c r="N169" s="1">
        <v>9198852</v>
      </c>
      <c r="O169" s="4">
        <f t="shared" si="32"/>
        <v>14727750</v>
      </c>
      <c r="P169" s="1">
        <v>21613135</v>
      </c>
      <c r="Q169" s="4">
        <f t="shared" si="33"/>
        <v>36340885</v>
      </c>
      <c r="R169" s="1">
        <v>3882857</v>
      </c>
      <c r="S169" s="1">
        <v>7163759</v>
      </c>
      <c r="T169" s="4">
        <f t="shared" si="34"/>
        <v>11046616</v>
      </c>
      <c r="U169" s="1">
        <v>47387501</v>
      </c>
      <c r="V169" s="1">
        <v>2017</v>
      </c>
      <c r="W169" s="8">
        <v>32438232</v>
      </c>
      <c r="X169" s="1">
        <v>0</v>
      </c>
      <c r="Y169" s="1">
        <v>0</v>
      </c>
      <c r="Z169" s="1">
        <v>0</v>
      </c>
      <c r="AA169" s="1">
        <v>167000000</v>
      </c>
      <c r="AB169" s="1">
        <v>1.3233275449101797E-2</v>
      </c>
      <c r="AC169" s="1">
        <v>2.6769425149700599E-2</v>
      </c>
      <c r="AD169" s="1">
        <v>3.1129023952095807E-2</v>
      </c>
      <c r="AE169" s="1">
        <v>1.9489580838323355E-2</v>
      </c>
      <c r="AF169" s="2">
        <f t="shared" si="35"/>
        <v>5.0618604790419158E-2</v>
      </c>
      <c r="AG169" s="2">
        <f>AF169+AC169</f>
        <v>7.7388029940119757E-2</v>
      </c>
      <c r="AH169" s="1">
        <v>0.24919642514970061</v>
      </c>
      <c r="AI169" s="2">
        <f t="shared" si="36"/>
        <v>9.0621305389221557E-2</v>
      </c>
      <c r="AJ169" s="1">
        <v>3.310717365269461E-2</v>
      </c>
      <c r="AK169" s="1">
        <v>5.5082946107784428E-2</v>
      </c>
      <c r="AL169" s="4">
        <f t="shared" si="37"/>
        <v>8.8190119760479038E-2</v>
      </c>
      <c r="AM169" s="1">
        <v>0.12941997005988023</v>
      </c>
      <c r="AN169" s="4">
        <f t="shared" si="38"/>
        <v>0.21761008982035929</v>
      </c>
      <c r="AO169" s="1">
        <v>2.3250640718562875E-2</v>
      </c>
      <c r="AP169" s="1">
        <v>4.2896760479041916E-2</v>
      </c>
      <c r="AQ169" s="4">
        <f t="shared" si="39"/>
        <v>6.6147401197604788E-2</v>
      </c>
      <c r="AR169" s="1">
        <v>0.28375749101796405</v>
      </c>
      <c r="AS169" s="1">
        <v>0.33981773053892217</v>
      </c>
      <c r="AT169" s="1">
        <v>0.37642477844311384</v>
      </c>
      <c r="AU169" s="1">
        <f t="shared" si="40"/>
        <v>0.19424091017964071</v>
      </c>
      <c r="AV169" s="1">
        <v>0</v>
      </c>
      <c r="AW169">
        <v>234</v>
      </c>
      <c r="AX169">
        <v>410</v>
      </c>
      <c r="AY169" s="6">
        <v>32</v>
      </c>
      <c r="AZ169" s="6">
        <v>31</v>
      </c>
      <c r="BA169" s="11">
        <f t="shared" si="41"/>
        <v>14.625</v>
      </c>
      <c r="BB169">
        <f t="shared" si="42"/>
        <v>25.625</v>
      </c>
      <c r="BC169">
        <f t="shared" si="43"/>
        <v>-176</v>
      </c>
      <c r="BD169">
        <f t="shared" si="44"/>
        <v>-11</v>
      </c>
      <c r="BE169" s="10">
        <v>2.9508849908982602</v>
      </c>
      <c r="BF169" s="6">
        <v>24.609380000000002</v>
      </c>
      <c r="BG169" s="6">
        <v>26.451609999999999</v>
      </c>
      <c r="BH169" s="6">
        <v>0.64099700000000004</v>
      </c>
      <c r="BI169" s="6">
        <v>0.484375</v>
      </c>
      <c r="BJ169" s="6"/>
      <c r="BK169" s="6" t="s">
        <v>73</v>
      </c>
      <c r="BL169" s="6" t="s">
        <v>96</v>
      </c>
      <c r="BM169" s="6" t="s">
        <v>93</v>
      </c>
      <c r="BN169" s="6" t="s">
        <v>93</v>
      </c>
    </row>
    <row r="170" spans="1:80">
      <c r="A170" s="1" t="s">
        <v>280</v>
      </c>
      <c r="B170" s="1">
        <v>2017</v>
      </c>
      <c r="C170" s="1" t="s">
        <v>91</v>
      </c>
      <c r="D170" s="1">
        <v>1782314</v>
      </c>
      <c r="E170" s="1">
        <v>7879602</v>
      </c>
      <c r="F170" s="1">
        <v>26062634</v>
      </c>
      <c r="G170" s="1">
        <v>16565097</v>
      </c>
      <c r="H170" s="2">
        <f t="shared" si="30"/>
        <v>42627731</v>
      </c>
      <c r="I170" s="2">
        <f>H170+E170</f>
        <v>50507333</v>
      </c>
      <c r="J170" s="1">
        <v>23737956</v>
      </c>
      <c r="K170" s="2">
        <f t="shared" si="31"/>
        <v>52289647</v>
      </c>
      <c r="L170" s="1">
        <v>76027603</v>
      </c>
      <c r="M170" s="1">
        <v>4846639</v>
      </c>
      <c r="N170" s="1">
        <v>17309055</v>
      </c>
      <c r="O170" s="4">
        <f t="shared" si="32"/>
        <v>22155694</v>
      </c>
      <c r="P170" s="1">
        <v>13571954</v>
      </c>
      <c r="Q170" s="4">
        <f t="shared" si="33"/>
        <v>35727648</v>
      </c>
      <c r="R170" s="1">
        <v>3098994</v>
      </c>
      <c r="S170" s="1">
        <v>10844663</v>
      </c>
      <c r="T170" s="4">
        <f t="shared" si="34"/>
        <v>13943657</v>
      </c>
      <c r="U170" s="1">
        <v>49671305</v>
      </c>
      <c r="V170" s="1">
        <v>2017</v>
      </c>
      <c r="W170" s="8">
        <v>18609387</v>
      </c>
      <c r="X170" s="1">
        <v>0.56299999999999994</v>
      </c>
      <c r="Y170" s="1">
        <v>0</v>
      </c>
      <c r="Z170" s="1">
        <v>0</v>
      </c>
      <c r="AA170" s="1">
        <v>167000000</v>
      </c>
      <c r="AB170" s="1">
        <v>1.0672538922155689E-2</v>
      </c>
      <c r="AC170" s="1">
        <v>4.7183245508982036E-2</v>
      </c>
      <c r="AD170" s="1">
        <v>0.15606367664670659</v>
      </c>
      <c r="AE170" s="1">
        <v>9.9192197604790422E-2</v>
      </c>
      <c r="AF170" s="2">
        <f t="shared" si="35"/>
        <v>0.25525587425149698</v>
      </c>
      <c r="AG170" s="2">
        <f>AF170+AC170</f>
        <v>0.30243911976047899</v>
      </c>
      <c r="AH170" s="1">
        <v>0.14214344910179641</v>
      </c>
      <c r="AI170" s="2">
        <f t="shared" si="36"/>
        <v>0.31311165868263474</v>
      </c>
      <c r="AJ170" s="1">
        <v>2.9021790419161676E-2</v>
      </c>
      <c r="AK170" s="1">
        <v>0.10364703592814371</v>
      </c>
      <c r="AL170" s="4">
        <f t="shared" si="37"/>
        <v>0.1326688263473054</v>
      </c>
      <c r="AM170" s="1">
        <v>8.126918562874251E-2</v>
      </c>
      <c r="AN170" s="4">
        <f t="shared" si="38"/>
        <v>0.21393801197604789</v>
      </c>
      <c r="AO170" s="1">
        <v>1.8556850299401198E-2</v>
      </c>
      <c r="AP170" s="1">
        <v>6.4938101796407188E-2</v>
      </c>
      <c r="AQ170" s="4">
        <f t="shared" si="39"/>
        <v>8.3494952095808386E-2</v>
      </c>
      <c r="AR170" s="1">
        <v>0.29743296407185627</v>
      </c>
      <c r="AS170" s="1">
        <v>0.45525510778443112</v>
      </c>
      <c r="AT170" s="1">
        <v>0.24731192814371261</v>
      </c>
      <c r="AU170" s="1">
        <f t="shared" si="40"/>
        <v>0.11143345508982036</v>
      </c>
      <c r="AV170" s="1">
        <v>9</v>
      </c>
      <c r="AW170">
        <v>354</v>
      </c>
      <c r="AX170">
        <v>332</v>
      </c>
      <c r="AY170" s="6">
        <v>14</v>
      </c>
      <c r="AZ170" s="6">
        <v>13</v>
      </c>
      <c r="BA170" s="11">
        <f t="shared" si="41"/>
        <v>22.125</v>
      </c>
      <c r="BB170">
        <f t="shared" si="42"/>
        <v>20.75</v>
      </c>
      <c r="BC170">
        <f t="shared" si="43"/>
        <v>22</v>
      </c>
      <c r="BD170">
        <f t="shared" si="44"/>
        <v>1.375</v>
      </c>
      <c r="BE170" s="10">
        <v>8.7014518761344508</v>
      </c>
      <c r="BF170" s="6">
        <v>25.523810000000001</v>
      </c>
      <c r="BG170" s="6">
        <v>27.822479999999999</v>
      </c>
      <c r="BH170" s="6">
        <v>0.61148199999999997</v>
      </c>
      <c r="BI170" s="6">
        <v>0.57142899999999996</v>
      </c>
      <c r="BJ170" s="6"/>
      <c r="BK170" s="6" t="s">
        <v>80</v>
      </c>
      <c r="BL170" s="6" t="s">
        <v>68</v>
      </c>
      <c r="BM170" s="6" t="s">
        <v>92</v>
      </c>
      <c r="BN170" s="6" t="s">
        <v>93</v>
      </c>
    </row>
    <row r="171" spans="1:80">
      <c r="A171" s="1" t="s">
        <v>281</v>
      </c>
      <c r="B171" s="1">
        <v>2017</v>
      </c>
      <c r="C171" s="1" t="s">
        <v>95</v>
      </c>
      <c r="D171" s="1">
        <v>3920973</v>
      </c>
      <c r="E171" s="1">
        <v>6090264</v>
      </c>
      <c r="F171" s="1">
        <v>25054318</v>
      </c>
      <c r="G171" s="1">
        <v>4832368</v>
      </c>
      <c r="H171" s="2">
        <f t="shared" si="30"/>
        <v>29886686</v>
      </c>
      <c r="I171" s="2">
        <f>H171+E171</f>
        <v>35976950</v>
      </c>
      <c r="J171" s="1">
        <v>23704519</v>
      </c>
      <c r="K171" s="2">
        <f t="shared" si="31"/>
        <v>39897923</v>
      </c>
      <c r="L171" s="1">
        <v>63602442</v>
      </c>
      <c r="M171" s="1">
        <v>18109284</v>
      </c>
      <c r="N171" s="1">
        <v>23398406</v>
      </c>
      <c r="O171" s="4">
        <f t="shared" si="32"/>
        <v>41507690</v>
      </c>
      <c r="P171" s="1">
        <v>9388589</v>
      </c>
      <c r="Q171" s="4">
        <f t="shared" si="33"/>
        <v>50896279</v>
      </c>
      <c r="R171" s="1">
        <v>8775903</v>
      </c>
      <c r="S171" s="1">
        <v>24273641</v>
      </c>
      <c r="T171" s="4">
        <f t="shared" si="34"/>
        <v>33049544</v>
      </c>
      <c r="U171" s="1">
        <v>83945823</v>
      </c>
      <c r="V171" s="1">
        <v>2017</v>
      </c>
      <c r="W171" s="8">
        <v>28744569</v>
      </c>
      <c r="X171" s="1">
        <v>0.313</v>
      </c>
      <c r="Y171" s="1">
        <v>0</v>
      </c>
      <c r="Z171" s="1">
        <v>0</v>
      </c>
      <c r="AA171" s="1">
        <v>167000000</v>
      </c>
      <c r="AB171" s="1">
        <v>2.3478880239520959E-2</v>
      </c>
      <c r="AC171" s="1">
        <v>3.6468646706586824E-2</v>
      </c>
      <c r="AD171" s="1">
        <v>0.15002585628742515</v>
      </c>
      <c r="AE171" s="1">
        <v>2.8936335329341319E-2</v>
      </c>
      <c r="AF171" s="2">
        <f t="shared" si="35"/>
        <v>0.17896219161676646</v>
      </c>
      <c r="AG171" s="2">
        <f>AF171+AC171</f>
        <v>0.2154308383233533</v>
      </c>
      <c r="AH171" s="1">
        <v>0.14194322754491018</v>
      </c>
      <c r="AI171" s="2">
        <f t="shared" si="36"/>
        <v>0.23890971856287424</v>
      </c>
      <c r="AJ171" s="1">
        <v>0.10843882634730539</v>
      </c>
      <c r="AK171" s="1">
        <v>0.14011021556886227</v>
      </c>
      <c r="AL171" s="4">
        <f t="shared" si="37"/>
        <v>0.24854904191616767</v>
      </c>
      <c r="AM171" s="1">
        <v>5.6219095808383232E-2</v>
      </c>
      <c r="AN171" s="4">
        <f t="shared" si="38"/>
        <v>0.30476813772455091</v>
      </c>
      <c r="AO171" s="1">
        <v>5.255031736526946E-2</v>
      </c>
      <c r="AP171" s="1">
        <v>0.14535114371257485</v>
      </c>
      <c r="AQ171" s="4">
        <f t="shared" si="39"/>
        <v>0.19790146107784432</v>
      </c>
      <c r="AR171" s="1">
        <v>0.50266959880239526</v>
      </c>
      <c r="AS171" s="1">
        <v>0.38085294610778442</v>
      </c>
      <c r="AT171" s="1">
        <v>0.11647745508982033</v>
      </c>
      <c r="AU171" s="1">
        <f t="shared" si="40"/>
        <v>0.17212316766467065</v>
      </c>
      <c r="AV171" s="1">
        <v>5</v>
      </c>
      <c r="AW171">
        <v>289</v>
      </c>
      <c r="AX171">
        <v>382</v>
      </c>
      <c r="AY171" s="6">
        <v>27</v>
      </c>
      <c r="AZ171" s="6">
        <v>22</v>
      </c>
      <c r="BA171" s="11">
        <f t="shared" si="41"/>
        <v>18.0625</v>
      </c>
      <c r="BB171">
        <f t="shared" si="42"/>
        <v>23.875</v>
      </c>
      <c r="BC171">
        <f t="shared" si="43"/>
        <v>-93</v>
      </c>
      <c r="BD171">
        <f t="shared" si="44"/>
        <v>-5.8125</v>
      </c>
      <c r="BE171" s="10">
        <v>5.3614761599619198</v>
      </c>
      <c r="BF171" s="6">
        <v>25.787880000000001</v>
      </c>
      <c r="BG171" s="6">
        <v>28.018229999999999</v>
      </c>
      <c r="BH171" s="6">
        <v>0.64833799999999997</v>
      </c>
      <c r="BI171" s="6">
        <v>0.57575799999999999</v>
      </c>
      <c r="BJ171" s="6"/>
      <c r="BK171" s="6" t="s">
        <v>80</v>
      </c>
      <c r="BL171" s="6" t="s">
        <v>96</v>
      </c>
      <c r="BM171" s="6" t="s">
        <v>164</v>
      </c>
      <c r="BN171" s="6" t="s">
        <v>93</v>
      </c>
    </row>
    <row r="172" spans="1:80">
      <c r="A172" s="1" t="s">
        <v>282</v>
      </c>
      <c r="B172" s="1">
        <v>2017</v>
      </c>
      <c r="C172" s="1" t="s">
        <v>98</v>
      </c>
      <c r="D172" s="1">
        <v>17047200</v>
      </c>
      <c r="E172" s="1">
        <v>5553764</v>
      </c>
      <c r="F172" s="1">
        <v>18671297</v>
      </c>
      <c r="G172" s="1">
        <v>5529031</v>
      </c>
      <c r="H172" s="2">
        <f t="shared" si="30"/>
        <v>24200328</v>
      </c>
      <c r="I172" s="2">
        <f>H172+E172</f>
        <v>29754092</v>
      </c>
      <c r="J172" s="1">
        <v>22993789</v>
      </c>
      <c r="K172" s="2">
        <f t="shared" si="31"/>
        <v>46801292</v>
      </c>
      <c r="L172" s="1">
        <v>69795081</v>
      </c>
      <c r="M172" s="1">
        <v>15087353</v>
      </c>
      <c r="N172" s="1">
        <v>14892449</v>
      </c>
      <c r="O172" s="4">
        <f t="shared" si="32"/>
        <v>29979802</v>
      </c>
      <c r="P172" s="1">
        <v>12040537</v>
      </c>
      <c r="Q172" s="4">
        <f t="shared" si="33"/>
        <v>42020339</v>
      </c>
      <c r="R172" s="1">
        <v>11021745</v>
      </c>
      <c r="S172" s="1">
        <v>17917711</v>
      </c>
      <c r="T172" s="4">
        <f t="shared" si="34"/>
        <v>28939456</v>
      </c>
      <c r="U172" s="1">
        <v>70959795</v>
      </c>
      <c r="V172" s="1">
        <v>2017</v>
      </c>
      <c r="W172" s="8">
        <v>19975680</v>
      </c>
      <c r="X172" s="1">
        <v>0.56299999999999994</v>
      </c>
      <c r="Y172" s="1">
        <v>0</v>
      </c>
      <c r="Z172" s="1">
        <v>0</v>
      </c>
      <c r="AA172" s="1">
        <v>167000000</v>
      </c>
      <c r="AB172" s="1">
        <v>0.10207904191616766</v>
      </c>
      <c r="AC172" s="1">
        <v>3.3256071856287428E-2</v>
      </c>
      <c r="AD172" s="1">
        <v>0.11180417365269461</v>
      </c>
      <c r="AE172" s="1">
        <v>3.310797005988024E-2</v>
      </c>
      <c r="AF172" s="2">
        <f t="shared" si="35"/>
        <v>0.14491214371257485</v>
      </c>
      <c r="AG172" s="2">
        <f>AF172+AC172</f>
        <v>0.17816821556886228</v>
      </c>
      <c r="AH172" s="1">
        <v>0.13768735928143713</v>
      </c>
      <c r="AI172" s="2">
        <f t="shared" si="36"/>
        <v>0.28024725748502999</v>
      </c>
      <c r="AJ172" s="1">
        <v>9.0343431137724556E-2</v>
      </c>
      <c r="AK172" s="1">
        <v>8.9176341317365265E-2</v>
      </c>
      <c r="AL172" s="4">
        <f t="shared" si="37"/>
        <v>0.17951977245508982</v>
      </c>
      <c r="AM172" s="1">
        <v>7.2099023952095803E-2</v>
      </c>
      <c r="AN172" s="4">
        <f t="shared" si="38"/>
        <v>0.25161879640718565</v>
      </c>
      <c r="AO172" s="1">
        <v>6.5998473053892212E-2</v>
      </c>
      <c r="AP172" s="1">
        <v>0.10729168263473055</v>
      </c>
      <c r="AQ172" s="4">
        <f t="shared" si="39"/>
        <v>0.17329015568862277</v>
      </c>
      <c r="AR172" s="1">
        <v>0.42490895209580837</v>
      </c>
      <c r="AS172" s="1">
        <v>0.41793461676646709</v>
      </c>
      <c r="AT172" s="1">
        <v>0.15715643113772448</v>
      </c>
      <c r="AU172" s="1">
        <f t="shared" si="40"/>
        <v>0.11961485029940119</v>
      </c>
      <c r="AV172" s="1">
        <v>9</v>
      </c>
      <c r="AW172">
        <v>410</v>
      </c>
      <c r="AX172">
        <v>376</v>
      </c>
      <c r="AY172" s="6">
        <v>7</v>
      </c>
      <c r="AZ172" s="6">
        <v>21</v>
      </c>
      <c r="BA172" s="11">
        <f t="shared" si="41"/>
        <v>25.625</v>
      </c>
      <c r="BB172">
        <f t="shared" si="42"/>
        <v>23.5</v>
      </c>
      <c r="BC172">
        <f t="shared" si="43"/>
        <v>34</v>
      </c>
      <c r="BD172">
        <f t="shared" si="44"/>
        <v>2.125</v>
      </c>
      <c r="BE172" s="10">
        <v>9.0499710813002796</v>
      </c>
      <c r="BF172" s="6">
        <v>26.059699999999999</v>
      </c>
      <c r="BG172" s="6">
        <v>27.686520000000002</v>
      </c>
      <c r="BH172" s="6">
        <v>0.62523700000000004</v>
      </c>
      <c r="BI172" s="6">
        <v>0.492537</v>
      </c>
      <c r="BJ172" s="6"/>
      <c r="BK172" s="6" t="s">
        <v>80</v>
      </c>
      <c r="BL172" s="6" t="s">
        <v>68</v>
      </c>
      <c r="BM172" s="6" t="s">
        <v>92</v>
      </c>
      <c r="BN172" s="6" t="s">
        <v>93</v>
      </c>
    </row>
    <row r="173" spans="1:80">
      <c r="A173" s="1" t="s">
        <v>283</v>
      </c>
      <c r="B173" s="1">
        <v>2017</v>
      </c>
      <c r="C173" s="1" t="s">
        <v>101</v>
      </c>
      <c r="D173" s="1">
        <v>21034437</v>
      </c>
      <c r="E173" s="1">
        <v>2394382</v>
      </c>
      <c r="F173" s="1">
        <v>31564129</v>
      </c>
      <c r="G173" s="1">
        <v>3754657</v>
      </c>
      <c r="H173" s="2">
        <f>SUM(F173:G173)</f>
        <v>35318786</v>
      </c>
      <c r="I173" s="2">
        <f>H173+E173</f>
        <v>37713168</v>
      </c>
      <c r="J173" s="1">
        <v>28553585</v>
      </c>
      <c r="K173" s="2">
        <f>SUM(D173:G173)</f>
        <v>58747605</v>
      </c>
      <c r="L173" s="1">
        <v>87301190</v>
      </c>
      <c r="M173" s="1">
        <v>14712089</v>
      </c>
      <c r="N173" s="1">
        <v>26170012</v>
      </c>
      <c r="O173" s="4">
        <f>SUM(M173:N173)</f>
        <v>40882101</v>
      </c>
      <c r="P173" s="1">
        <v>2563395</v>
      </c>
      <c r="Q173" s="4">
        <f>SUM(O173:P173)</f>
        <v>43445496</v>
      </c>
      <c r="R173" s="1">
        <v>11727962</v>
      </c>
      <c r="S173" s="1">
        <v>9272758</v>
      </c>
      <c r="T173" s="4">
        <f>SUM(R173:S173)</f>
        <v>21000720</v>
      </c>
      <c r="U173" s="1">
        <v>64446216</v>
      </c>
      <c r="V173" s="1">
        <v>2017</v>
      </c>
      <c r="W173" s="8">
        <v>20518541</v>
      </c>
      <c r="X173" s="1">
        <v>0.438</v>
      </c>
      <c r="Y173" s="1">
        <v>0</v>
      </c>
      <c r="Z173" s="1">
        <v>0</v>
      </c>
      <c r="AA173" s="1">
        <v>167000000</v>
      </c>
      <c r="AB173" s="1">
        <v>0.1259547125748503</v>
      </c>
      <c r="AC173" s="1">
        <v>1.4337616766467066E-2</v>
      </c>
      <c r="AD173" s="1">
        <v>0.18900676047904191</v>
      </c>
      <c r="AE173" s="1">
        <v>2.2482976047904193E-2</v>
      </c>
      <c r="AF173" s="2">
        <f>SUM(AD173:AE173)</f>
        <v>0.21148973652694611</v>
      </c>
      <c r="AG173" s="2">
        <f>AF173+AC173</f>
        <v>0.22582735329341316</v>
      </c>
      <c r="AH173" s="1">
        <v>0.1709795508982036</v>
      </c>
      <c r="AI173" s="2">
        <f>SUM(AB173:AE173)</f>
        <v>0.35178206586826344</v>
      </c>
      <c r="AJ173" s="1">
        <v>8.8096341317365268E-2</v>
      </c>
      <c r="AK173" s="1">
        <v>0.15670665868263473</v>
      </c>
      <c r="AL173" s="4">
        <f>SUM(AJ173:AK173)</f>
        <v>0.24480299999999999</v>
      </c>
      <c r="AM173" s="1">
        <v>1.5349670658682635E-2</v>
      </c>
      <c r="AN173" s="4">
        <f>SUM(AL173:AM173)</f>
        <v>0.26015267065868264</v>
      </c>
      <c r="AO173" s="1">
        <v>7.0227317365269465E-2</v>
      </c>
      <c r="AP173" s="1">
        <v>5.5525497005988023E-2</v>
      </c>
      <c r="AQ173" s="4">
        <f>SUM(AO173:AP173)</f>
        <v>0.12575281437125749</v>
      </c>
      <c r="AR173" s="1">
        <v>0.3859054850299401</v>
      </c>
      <c r="AS173" s="1">
        <v>0.52276161676646704</v>
      </c>
      <c r="AT173" s="1">
        <v>9.1332898203592805E-2</v>
      </c>
      <c r="AU173" s="1">
        <f t="shared" si="40"/>
        <v>0.12286551497005987</v>
      </c>
      <c r="AV173" s="1">
        <v>7</v>
      </c>
      <c r="AW173">
        <v>320</v>
      </c>
      <c r="AX173">
        <v>384</v>
      </c>
      <c r="AY173" s="6">
        <v>21</v>
      </c>
      <c r="AZ173" s="6">
        <v>26</v>
      </c>
      <c r="BA173" s="11">
        <f t="shared" si="41"/>
        <v>20</v>
      </c>
      <c r="BB173">
        <f t="shared" si="42"/>
        <v>24</v>
      </c>
      <c r="BC173">
        <f t="shared" si="43"/>
        <v>-64</v>
      </c>
      <c r="BD173">
        <f t="shared" si="44"/>
        <v>-4</v>
      </c>
      <c r="BE173" s="10">
        <v>6.2037309057793397</v>
      </c>
      <c r="BF173" s="6">
        <v>25.537310000000002</v>
      </c>
      <c r="BG173" s="6">
        <v>28.577279999999998</v>
      </c>
      <c r="BH173" s="6">
        <v>0.67434700000000003</v>
      </c>
      <c r="BI173" s="6">
        <v>0.58209</v>
      </c>
      <c r="BJ173" s="6"/>
      <c r="BK173" s="6" t="s">
        <v>67</v>
      </c>
      <c r="BL173" s="6" t="s">
        <v>96</v>
      </c>
      <c r="BM173" s="6" t="s">
        <v>70</v>
      </c>
      <c r="BN173" s="6" t="s">
        <v>70</v>
      </c>
    </row>
    <row r="174" spans="1:80">
      <c r="A174" s="1" t="s">
        <v>284</v>
      </c>
      <c r="B174" s="1">
        <v>2017</v>
      </c>
      <c r="C174" s="1" t="s">
        <v>104</v>
      </c>
      <c r="D174" s="1">
        <v>3855907</v>
      </c>
      <c r="E174" s="1">
        <v>9441681</v>
      </c>
      <c r="F174" s="1">
        <v>22653336</v>
      </c>
      <c r="G174" s="1">
        <v>10632622</v>
      </c>
      <c r="H174" s="2">
        <f t="shared" si="30"/>
        <v>33285958</v>
      </c>
      <c r="I174" s="2">
        <f>H174+E174</f>
        <v>42727639</v>
      </c>
      <c r="J174" s="1">
        <v>20476207</v>
      </c>
      <c r="K174" s="2">
        <f t="shared" si="31"/>
        <v>46583546</v>
      </c>
      <c r="L174" s="1">
        <v>67059753</v>
      </c>
      <c r="M174" s="1">
        <v>17826431</v>
      </c>
      <c r="N174" s="1">
        <v>14975844</v>
      </c>
      <c r="O174" s="4">
        <f t="shared" si="32"/>
        <v>32802275</v>
      </c>
      <c r="P174" s="1">
        <v>9833223</v>
      </c>
      <c r="Q174" s="4">
        <f t="shared" si="33"/>
        <v>42635498</v>
      </c>
      <c r="R174" s="1">
        <v>10598898</v>
      </c>
      <c r="S174" s="1">
        <v>21425963</v>
      </c>
      <c r="T174" s="4">
        <f t="shared" si="34"/>
        <v>32024861</v>
      </c>
      <c r="U174" s="1">
        <v>74660359</v>
      </c>
      <c r="V174" s="1">
        <v>2017</v>
      </c>
      <c r="W174" s="8">
        <v>46246048</v>
      </c>
      <c r="X174" s="1">
        <v>0.25</v>
      </c>
      <c r="Y174" s="1">
        <v>0</v>
      </c>
      <c r="Z174" s="1">
        <v>0</v>
      </c>
      <c r="AA174" s="1">
        <v>167000000</v>
      </c>
      <c r="AB174" s="1">
        <v>2.3089263473053893E-2</v>
      </c>
      <c r="AC174" s="1">
        <v>5.6537011976047907E-2</v>
      </c>
      <c r="AD174" s="1">
        <v>0.13564871856287425</v>
      </c>
      <c r="AE174" s="1">
        <v>6.3668395209580841E-2</v>
      </c>
      <c r="AF174" s="2">
        <f t="shared" si="35"/>
        <v>0.19931711377245509</v>
      </c>
      <c r="AG174" s="2">
        <f>AF174+AC174</f>
        <v>0.25585412574850297</v>
      </c>
      <c r="AH174" s="1">
        <v>0.12261201796407185</v>
      </c>
      <c r="AI174" s="2">
        <f t="shared" si="36"/>
        <v>0.27894338922155693</v>
      </c>
      <c r="AJ174" s="1">
        <v>0.10674509580838323</v>
      </c>
      <c r="AK174" s="1">
        <v>8.9675712574850297E-2</v>
      </c>
      <c r="AL174" s="4">
        <f t="shared" si="37"/>
        <v>0.19642080838323353</v>
      </c>
      <c r="AM174" s="1">
        <v>5.8881574850299399E-2</v>
      </c>
      <c r="AN174" s="4">
        <f t="shared" si="38"/>
        <v>0.25530238323353294</v>
      </c>
      <c r="AO174" s="1">
        <v>6.3466455089820364E-2</v>
      </c>
      <c r="AP174" s="1">
        <v>0.12829917964071857</v>
      </c>
      <c r="AQ174" s="4">
        <f t="shared" si="39"/>
        <v>0.19176563473053893</v>
      </c>
      <c r="AR174" s="1">
        <v>0.44706801796407186</v>
      </c>
      <c r="AS174" s="1">
        <v>0.40155540718562877</v>
      </c>
      <c r="AT174" s="1">
        <v>0.15137657485029932</v>
      </c>
      <c r="AU174" s="1">
        <f t="shared" si="40"/>
        <v>0.27692244311377245</v>
      </c>
      <c r="AV174" s="1">
        <v>4</v>
      </c>
      <c r="AW174">
        <v>338</v>
      </c>
      <c r="AX174">
        <v>436</v>
      </c>
      <c r="AY174" s="6">
        <v>17</v>
      </c>
      <c r="AZ174" s="6">
        <v>32</v>
      </c>
      <c r="BA174" s="11">
        <f t="shared" si="41"/>
        <v>21.125</v>
      </c>
      <c r="BB174">
        <f t="shared" si="42"/>
        <v>27.25</v>
      </c>
      <c r="BC174">
        <f t="shared" si="43"/>
        <v>-98</v>
      </c>
      <c r="BD174">
        <f t="shared" si="44"/>
        <v>-6.125</v>
      </c>
      <c r="BE174" s="10">
        <v>5.2162598244761602</v>
      </c>
      <c r="BF174" s="6">
        <v>25.81944</v>
      </c>
      <c r="BG174" s="6">
        <v>26.952719999999999</v>
      </c>
      <c r="BH174" s="6">
        <v>0.66162299999999996</v>
      </c>
      <c r="BI174" s="6">
        <v>0.52777799999999997</v>
      </c>
      <c r="BJ174" s="6"/>
      <c r="BK174" s="6" t="s">
        <v>73</v>
      </c>
      <c r="BL174" s="6" t="s">
        <v>96</v>
      </c>
      <c r="BM174" s="6" t="s">
        <v>93</v>
      </c>
      <c r="BN174" s="6" t="s">
        <v>93</v>
      </c>
    </row>
    <row r="175" spans="1:80">
      <c r="A175" s="1" t="s">
        <v>285</v>
      </c>
      <c r="B175" s="1">
        <v>2017</v>
      </c>
      <c r="C175" s="1" t="s">
        <v>106</v>
      </c>
      <c r="D175" s="1">
        <v>22129791</v>
      </c>
      <c r="E175" s="1">
        <v>6704574</v>
      </c>
      <c r="F175" s="1">
        <v>15603598</v>
      </c>
      <c r="G175" s="1">
        <v>10039875</v>
      </c>
      <c r="H175" s="2">
        <f t="shared" si="30"/>
        <v>25643473</v>
      </c>
      <c r="I175" s="2">
        <f>H175+E175</f>
        <v>32348047</v>
      </c>
      <c r="J175" s="1">
        <v>20295961</v>
      </c>
      <c r="K175" s="2">
        <f t="shared" si="31"/>
        <v>54477838</v>
      </c>
      <c r="L175" s="1">
        <v>74773799</v>
      </c>
      <c r="M175" s="1">
        <v>14868181</v>
      </c>
      <c r="N175" s="1">
        <v>21252770</v>
      </c>
      <c r="O175" s="4">
        <f t="shared" si="32"/>
        <v>36120951</v>
      </c>
      <c r="P175" s="1">
        <v>3079205</v>
      </c>
      <c r="Q175" s="4">
        <f t="shared" si="33"/>
        <v>39200156</v>
      </c>
      <c r="R175" s="1">
        <v>7567614</v>
      </c>
      <c r="S175" s="1">
        <v>4398800</v>
      </c>
      <c r="T175" s="4">
        <f t="shared" si="34"/>
        <v>11966414</v>
      </c>
      <c r="U175" s="1">
        <v>51166570</v>
      </c>
      <c r="V175" s="1">
        <v>2017</v>
      </c>
      <c r="W175" s="8">
        <v>38435699</v>
      </c>
      <c r="X175" s="1">
        <v>0.25</v>
      </c>
      <c r="Y175" s="1">
        <v>0</v>
      </c>
      <c r="Z175" s="1">
        <v>0</v>
      </c>
      <c r="AA175" s="1">
        <v>167000000</v>
      </c>
      <c r="AB175" s="1">
        <v>0.13251371856287425</v>
      </c>
      <c r="AC175" s="1">
        <v>4.0147149700598801E-2</v>
      </c>
      <c r="AD175" s="1">
        <v>9.3434718562874247E-2</v>
      </c>
      <c r="AE175" s="1">
        <v>6.0119011976047902E-2</v>
      </c>
      <c r="AF175" s="2">
        <f t="shared" si="35"/>
        <v>0.15355373053892216</v>
      </c>
      <c r="AG175" s="2">
        <f>AF175+AC175</f>
        <v>0.19370088023952095</v>
      </c>
      <c r="AH175" s="1">
        <v>0.12153270059880239</v>
      </c>
      <c r="AI175" s="2">
        <f t="shared" si="36"/>
        <v>0.32621459880239517</v>
      </c>
      <c r="AJ175" s="1">
        <v>8.9031023952095806E-2</v>
      </c>
      <c r="AK175" s="1">
        <v>0.12726209580838324</v>
      </c>
      <c r="AL175" s="4">
        <f t="shared" si="37"/>
        <v>0.21629311976047905</v>
      </c>
      <c r="AM175" s="1">
        <v>1.8438353293413173E-2</v>
      </c>
      <c r="AN175" s="4">
        <f t="shared" si="38"/>
        <v>0.23473147305389222</v>
      </c>
      <c r="AO175" s="1">
        <v>4.5315053892215566E-2</v>
      </c>
      <c r="AP175" s="1">
        <v>2.6340119760479043E-2</v>
      </c>
      <c r="AQ175" s="4">
        <f t="shared" si="39"/>
        <v>7.1655173652694609E-2</v>
      </c>
      <c r="AR175" s="1">
        <v>0.30638664670658683</v>
      </c>
      <c r="AS175" s="1">
        <v>0.44774729940119762</v>
      </c>
      <c r="AT175" s="1">
        <v>0.2458660538922155</v>
      </c>
      <c r="AU175" s="1">
        <f t="shared" si="40"/>
        <v>0.2301538862275449</v>
      </c>
      <c r="AV175" s="1">
        <v>4</v>
      </c>
      <c r="AW175">
        <v>263</v>
      </c>
      <c r="AX175">
        <v>404</v>
      </c>
      <c r="AY175" s="6">
        <v>30</v>
      </c>
      <c r="AZ175" s="6">
        <v>30</v>
      </c>
      <c r="BA175" s="11">
        <f t="shared" si="41"/>
        <v>16.4375</v>
      </c>
      <c r="BB175">
        <f t="shared" si="42"/>
        <v>25.25</v>
      </c>
      <c r="BC175">
        <f t="shared" si="43"/>
        <v>-141</v>
      </c>
      <c r="BD175">
        <f t="shared" si="44"/>
        <v>-8.8125</v>
      </c>
      <c r="BE175" s="10">
        <v>3.9673993392985998</v>
      </c>
      <c r="BF175" s="6">
        <v>25.62857</v>
      </c>
      <c r="BG175" s="6">
        <v>27.519680000000001</v>
      </c>
      <c r="BH175" s="6">
        <v>0.67702200000000001</v>
      </c>
      <c r="BI175" s="6">
        <v>0.41428599999999999</v>
      </c>
      <c r="BJ175" s="6"/>
      <c r="BK175" s="6" t="s">
        <v>73</v>
      </c>
      <c r="BL175" s="6" t="s">
        <v>96</v>
      </c>
      <c r="BM175" s="6" t="s">
        <v>93</v>
      </c>
      <c r="BN175" s="6" t="s">
        <v>93</v>
      </c>
    </row>
    <row r="176" spans="1:80">
      <c r="A176" s="1" t="s">
        <v>286</v>
      </c>
      <c r="B176" s="1">
        <v>2017</v>
      </c>
      <c r="C176" s="1" t="s">
        <v>108</v>
      </c>
      <c r="D176" s="1">
        <v>10071983</v>
      </c>
      <c r="E176" s="1">
        <v>13724506</v>
      </c>
      <c r="F176" s="1">
        <v>13512773</v>
      </c>
      <c r="G176" s="1">
        <v>7480525</v>
      </c>
      <c r="H176" s="2">
        <f t="shared" si="30"/>
        <v>20993298</v>
      </c>
      <c r="I176" s="2">
        <f>H176+E176</f>
        <v>34717804</v>
      </c>
      <c r="J176" s="1">
        <v>23902263</v>
      </c>
      <c r="K176" s="2">
        <f t="shared" si="31"/>
        <v>44789787</v>
      </c>
      <c r="L176" s="1">
        <v>68692050</v>
      </c>
      <c r="M176" s="1">
        <v>36897369</v>
      </c>
      <c r="N176" s="1">
        <v>8251178</v>
      </c>
      <c r="O176" s="4">
        <f t="shared" si="32"/>
        <v>45148547</v>
      </c>
      <c r="P176" s="1">
        <v>13216415</v>
      </c>
      <c r="Q176" s="4">
        <f t="shared" si="33"/>
        <v>58364962</v>
      </c>
      <c r="R176" s="1">
        <v>15958866</v>
      </c>
      <c r="S176" s="1">
        <v>13849553</v>
      </c>
      <c r="T176" s="4">
        <f t="shared" si="34"/>
        <v>29808419</v>
      </c>
      <c r="U176" s="1">
        <v>88173381</v>
      </c>
      <c r="V176" s="1">
        <v>2017</v>
      </c>
      <c r="W176" s="8">
        <v>8145211</v>
      </c>
      <c r="X176" s="1">
        <v>0.625</v>
      </c>
      <c r="Y176" s="1">
        <v>1</v>
      </c>
      <c r="Z176" s="1">
        <v>0</v>
      </c>
      <c r="AA176" s="1">
        <v>167000000</v>
      </c>
      <c r="AB176" s="1">
        <v>6.0311275449101795E-2</v>
      </c>
      <c r="AC176" s="1">
        <v>8.2182670658682636E-2</v>
      </c>
      <c r="AD176" s="1">
        <v>8.0914808383233533E-2</v>
      </c>
      <c r="AE176" s="1">
        <v>4.47935628742515E-2</v>
      </c>
      <c r="AF176" s="2">
        <f t="shared" si="35"/>
        <v>0.12570837125748502</v>
      </c>
      <c r="AG176" s="2">
        <f>AF176+AC176</f>
        <v>0.20789104191616764</v>
      </c>
      <c r="AH176" s="1">
        <v>0.14312732335329342</v>
      </c>
      <c r="AI176" s="2">
        <f t="shared" si="36"/>
        <v>0.26820231736526945</v>
      </c>
      <c r="AJ176" s="1">
        <v>0.22094232934131736</v>
      </c>
      <c r="AK176" s="1">
        <v>4.9408251497005985E-2</v>
      </c>
      <c r="AL176" s="4">
        <f t="shared" si="37"/>
        <v>0.27035058083832336</v>
      </c>
      <c r="AM176" s="1">
        <v>7.9140209580838325E-2</v>
      </c>
      <c r="AN176" s="4">
        <f t="shared" si="38"/>
        <v>0.3494907904191617</v>
      </c>
      <c r="AO176" s="1">
        <v>9.5562071856287428E-2</v>
      </c>
      <c r="AP176" s="1">
        <v>8.2931455089820361E-2</v>
      </c>
      <c r="AQ176" s="4">
        <f t="shared" si="39"/>
        <v>0.17849352694610779</v>
      </c>
      <c r="AR176" s="1">
        <v>0.52798431736526941</v>
      </c>
      <c r="AS176" s="1">
        <v>0.41132964071856287</v>
      </c>
      <c r="AT176" s="1">
        <v>6.0686041916167666E-2</v>
      </c>
      <c r="AU176" s="1">
        <f t="shared" si="40"/>
        <v>4.8773718562874255E-2</v>
      </c>
      <c r="AV176" s="1">
        <v>10</v>
      </c>
      <c r="AW176">
        <v>417</v>
      </c>
      <c r="AX176">
        <v>268</v>
      </c>
      <c r="AY176" s="6">
        <v>5</v>
      </c>
      <c r="AZ176" s="6">
        <v>2</v>
      </c>
      <c r="BA176" s="11">
        <f t="shared" si="41"/>
        <v>26.0625</v>
      </c>
      <c r="BB176">
        <f t="shared" si="42"/>
        <v>16.75</v>
      </c>
      <c r="BC176">
        <f t="shared" si="43"/>
        <v>149</v>
      </c>
      <c r="BD176">
        <f t="shared" si="44"/>
        <v>9.3125</v>
      </c>
      <c r="BE176" s="10">
        <v>12.389946797472801</v>
      </c>
      <c r="BF176" s="6">
        <v>25.727270000000001</v>
      </c>
      <c r="BG176" s="6">
        <v>27.001390000000001</v>
      </c>
      <c r="BH176" s="6">
        <v>0.600522</v>
      </c>
      <c r="BI176" s="6">
        <v>0.53030299999999997</v>
      </c>
      <c r="BJ176" s="6"/>
      <c r="BK176" s="6" t="s">
        <v>73</v>
      </c>
      <c r="BL176" s="6" t="s">
        <v>68</v>
      </c>
      <c r="BM176" s="6" t="s">
        <v>99</v>
      </c>
      <c r="BN176" s="6" t="s">
        <v>93</v>
      </c>
    </row>
    <row r="177" spans="1:66">
      <c r="A177" s="1" t="s">
        <v>287</v>
      </c>
      <c r="B177" s="1">
        <v>2017</v>
      </c>
      <c r="C177" s="1" t="s">
        <v>110</v>
      </c>
      <c r="D177" s="1">
        <v>21205288</v>
      </c>
      <c r="E177" s="1">
        <v>4243728</v>
      </c>
      <c r="F177" s="1">
        <v>5474701</v>
      </c>
      <c r="G177" s="1">
        <v>7192941</v>
      </c>
      <c r="H177" s="2">
        <f t="shared" si="30"/>
        <v>12667642</v>
      </c>
      <c r="I177" s="2">
        <f>H177+E177</f>
        <v>16911370</v>
      </c>
      <c r="J177" s="1">
        <v>25611612</v>
      </c>
      <c r="K177" s="2">
        <f t="shared" si="31"/>
        <v>38116658</v>
      </c>
      <c r="L177" s="1">
        <v>63728270</v>
      </c>
      <c r="M177" s="1">
        <v>16972578</v>
      </c>
      <c r="N177" s="1">
        <v>35949428</v>
      </c>
      <c r="O177" s="4">
        <f t="shared" si="32"/>
        <v>52922006</v>
      </c>
      <c r="P177" s="1">
        <v>6576004</v>
      </c>
      <c r="Q177" s="4">
        <f t="shared" si="33"/>
        <v>59498010</v>
      </c>
      <c r="R177" s="1">
        <v>14053421</v>
      </c>
      <c r="S177" s="1">
        <v>6828257</v>
      </c>
      <c r="T177" s="4">
        <f t="shared" si="34"/>
        <v>20881678</v>
      </c>
      <c r="U177" s="1">
        <v>80379688</v>
      </c>
      <c r="V177" s="1">
        <v>2017</v>
      </c>
      <c r="W177" s="8">
        <v>16289314</v>
      </c>
      <c r="X177" s="1">
        <v>0.625</v>
      </c>
      <c r="Y177" s="1">
        <v>1</v>
      </c>
      <c r="Z177" s="1">
        <v>0</v>
      </c>
      <c r="AA177" s="1">
        <v>167000000</v>
      </c>
      <c r="AB177" s="1">
        <v>0.12697777245508982</v>
      </c>
      <c r="AC177" s="1">
        <v>2.5411544910179641E-2</v>
      </c>
      <c r="AD177" s="1">
        <v>3.2782640718562878E-2</v>
      </c>
      <c r="AE177" s="1">
        <v>4.3071502994011975E-2</v>
      </c>
      <c r="AF177" s="2">
        <f t="shared" si="35"/>
        <v>7.5854143712574845E-2</v>
      </c>
      <c r="AG177" s="2">
        <f>AF177+AC177</f>
        <v>0.10126568862275448</v>
      </c>
      <c r="AH177" s="1">
        <v>0.15336294610778442</v>
      </c>
      <c r="AI177" s="2">
        <f t="shared" si="36"/>
        <v>0.2282434610778443</v>
      </c>
      <c r="AJ177" s="1">
        <v>0.10163220359281437</v>
      </c>
      <c r="AK177" s="1">
        <v>0.21526603592814372</v>
      </c>
      <c r="AL177" s="4">
        <f t="shared" si="37"/>
        <v>0.31689823952095808</v>
      </c>
      <c r="AM177" s="1">
        <v>3.9377269461077842E-2</v>
      </c>
      <c r="AN177" s="4">
        <f t="shared" si="38"/>
        <v>0.35627550898203592</v>
      </c>
      <c r="AO177" s="1">
        <v>8.4152221556886231E-2</v>
      </c>
      <c r="AP177" s="1">
        <v>4.0887766467065871E-2</v>
      </c>
      <c r="AQ177" s="4">
        <f t="shared" si="39"/>
        <v>0.12503998802395211</v>
      </c>
      <c r="AR177" s="1">
        <v>0.48131549700598802</v>
      </c>
      <c r="AS177" s="1">
        <v>0.38160640718562872</v>
      </c>
      <c r="AT177" s="1">
        <v>0.13707809580838326</v>
      </c>
      <c r="AU177" s="1">
        <f t="shared" si="40"/>
        <v>9.7540802395209583E-2</v>
      </c>
      <c r="AV177" s="1">
        <v>10</v>
      </c>
      <c r="AW177">
        <v>415</v>
      </c>
      <c r="AX177">
        <v>339</v>
      </c>
      <c r="AY177" s="6">
        <v>6</v>
      </c>
      <c r="AZ177" s="6">
        <v>15</v>
      </c>
      <c r="BA177" s="11">
        <f t="shared" si="41"/>
        <v>25.9375</v>
      </c>
      <c r="BB177">
        <f t="shared" si="42"/>
        <v>21.1875</v>
      </c>
      <c r="BC177">
        <f t="shared" si="43"/>
        <v>76</v>
      </c>
      <c r="BD177">
        <f t="shared" si="44"/>
        <v>4.75</v>
      </c>
      <c r="BE177" s="10">
        <v>10.2697882993807</v>
      </c>
      <c r="BF177" s="6">
        <v>26.015630000000002</v>
      </c>
      <c r="BG177" s="6">
        <v>28.400069999999999</v>
      </c>
      <c r="BH177" s="6">
        <v>0.628973</v>
      </c>
      <c r="BI177" s="6">
        <v>0.640625</v>
      </c>
      <c r="BJ177" s="6"/>
      <c r="BK177" s="6" t="s">
        <v>67</v>
      </c>
      <c r="BL177" s="6" t="s">
        <v>96</v>
      </c>
      <c r="BM177" s="6" t="s">
        <v>70</v>
      </c>
      <c r="BN177" s="6" t="s">
        <v>70</v>
      </c>
    </row>
    <row r="178" spans="1:66">
      <c r="A178" s="1" t="s">
        <v>288</v>
      </c>
      <c r="B178" s="1">
        <v>2017</v>
      </c>
      <c r="C178" s="1" t="s">
        <v>114</v>
      </c>
      <c r="D178" s="1">
        <v>19155000</v>
      </c>
      <c r="E178" s="1">
        <v>5059879</v>
      </c>
      <c r="F178" s="1">
        <v>20577484</v>
      </c>
      <c r="G178" s="1">
        <v>8986982</v>
      </c>
      <c r="H178" s="2">
        <f t="shared" si="30"/>
        <v>29564466</v>
      </c>
      <c r="I178" s="2">
        <f>H178+E178</f>
        <v>34624345</v>
      </c>
      <c r="J178" s="1">
        <v>21498674</v>
      </c>
      <c r="K178" s="2">
        <f t="shared" si="31"/>
        <v>53779345</v>
      </c>
      <c r="L178" s="1">
        <v>75278019</v>
      </c>
      <c r="M178" s="1">
        <v>17068671</v>
      </c>
      <c r="N178" s="1">
        <v>23167189</v>
      </c>
      <c r="O178" s="4">
        <f t="shared" si="32"/>
        <v>40235860</v>
      </c>
      <c r="P178" s="1">
        <v>5864393</v>
      </c>
      <c r="Q178" s="4">
        <f t="shared" si="33"/>
        <v>46100253</v>
      </c>
      <c r="R178" s="1">
        <v>6553828</v>
      </c>
      <c r="S178" s="1">
        <v>9329846</v>
      </c>
      <c r="T178" s="4">
        <f t="shared" si="34"/>
        <v>15883674</v>
      </c>
      <c r="U178" s="1">
        <v>61983927</v>
      </c>
      <c r="V178" s="1">
        <v>2017</v>
      </c>
      <c r="W178" s="8">
        <v>11787775</v>
      </c>
      <c r="X178" s="1">
        <v>0.56299999999999994</v>
      </c>
      <c r="Y178" s="1">
        <v>0</v>
      </c>
      <c r="Z178" s="1">
        <v>0</v>
      </c>
      <c r="AA178" s="1">
        <v>167000000</v>
      </c>
      <c r="AB178" s="1">
        <v>0.11470059880239521</v>
      </c>
      <c r="AC178" s="1">
        <v>3.0298676646706588E-2</v>
      </c>
      <c r="AD178" s="1">
        <v>0.12321846706586827</v>
      </c>
      <c r="AE178" s="1">
        <v>5.3814263473053889E-2</v>
      </c>
      <c r="AF178" s="2">
        <f t="shared" si="35"/>
        <v>0.17703273053892216</v>
      </c>
      <c r="AG178" s="2">
        <f>AF178+AC178</f>
        <v>0.20733140718562876</v>
      </c>
      <c r="AH178" s="1">
        <v>0.1287345748502994</v>
      </c>
      <c r="AI178" s="2">
        <f t="shared" si="36"/>
        <v>0.32203200598802395</v>
      </c>
      <c r="AJ178" s="1">
        <v>0.10220761077844312</v>
      </c>
      <c r="AK178" s="1">
        <v>0.13872568263473053</v>
      </c>
      <c r="AL178" s="4">
        <f t="shared" si="37"/>
        <v>0.24093329341317365</v>
      </c>
      <c r="AM178" s="1">
        <v>3.5116125748502994E-2</v>
      </c>
      <c r="AN178" s="4">
        <f t="shared" si="38"/>
        <v>0.27604941916167663</v>
      </c>
      <c r="AO178" s="1">
        <v>3.9244479041916171E-2</v>
      </c>
      <c r="AP178" s="1">
        <v>5.5867341317365267E-2</v>
      </c>
      <c r="AQ178" s="4">
        <f t="shared" si="39"/>
        <v>9.5111820359281438E-2</v>
      </c>
      <c r="AR178" s="1">
        <v>0.37116123952095809</v>
      </c>
      <c r="AS178" s="1">
        <v>0.45076658083832333</v>
      </c>
      <c r="AT178" s="1">
        <v>0.17807217964071853</v>
      </c>
      <c r="AU178" s="1">
        <f t="shared" si="40"/>
        <v>7.0585479041916172E-2</v>
      </c>
      <c r="AV178" s="1">
        <v>9</v>
      </c>
      <c r="AW178">
        <v>355</v>
      </c>
      <c r="AX178">
        <v>272</v>
      </c>
      <c r="AY178" s="6">
        <v>13</v>
      </c>
      <c r="AZ178" s="6">
        <v>3</v>
      </c>
      <c r="BA178" s="11">
        <f t="shared" si="41"/>
        <v>22.1875</v>
      </c>
      <c r="BB178">
        <f t="shared" si="42"/>
        <v>17</v>
      </c>
      <c r="BC178">
        <f t="shared" si="43"/>
        <v>83</v>
      </c>
      <c r="BD178">
        <f t="shared" si="44"/>
        <v>5.1875</v>
      </c>
      <c r="BE178" s="10">
        <v>10.473091169060799</v>
      </c>
      <c r="BF178" s="6">
        <v>26.2</v>
      </c>
      <c r="BG178" s="6">
        <v>28.376899999999999</v>
      </c>
      <c r="BH178" s="6">
        <v>0.63253400000000004</v>
      </c>
      <c r="BI178" s="6">
        <v>0.67692300000000005</v>
      </c>
      <c r="BJ178" s="6"/>
      <c r="BK178" s="6" t="s">
        <v>80</v>
      </c>
      <c r="BL178" s="6" t="s">
        <v>96</v>
      </c>
      <c r="BM178" s="6" t="s">
        <v>164</v>
      </c>
      <c r="BN178" s="6" t="s">
        <v>70</v>
      </c>
    </row>
    <row r="179" spans="1:66">
      <c r="A179" s="1" t="s">
        <v>289</v>
      </c>
      <c r="B179" s="1">
        <v>2017</v>
      </c>
      <c r="C179" s="1" t="s">
        <v>116</v>
      </c>
      <c r="D179" s="1">
        <v>7755133</v>
      </c>
      <c r="E179" s="1">
        <v>6953354</v>
      </c>
      <c r="F179" s="1">
        <v>25219237</v>
      </c>
      <c r="G179" s="1">
        <v>3237501</v>
      </c>
      <c r="H179" s="2">
        <f t="shared" si="30"/>
        <v>28456738</v>
      </c>
      <c r="I179" s="2">
        <f>H179+E179</f>
        <v>35410092</v>
      </c>
      <c r="J179" s="1">
        <v>20306285</v>
      </c>
      <c r="K179" s="2">
        <f t="shared" si="31"/>
        <v>43165225</v>
      </c>
      <c r="L179" s="1">
        <v>63471510</v>
      </c>
      <c r="M179" s="1">
        <v>19055848</v>
      </c>
      <c r="N179" s="1">
        <v>15841769</v>
      </c>
      <c r="O179" s="4">
        <f t="shared" si="32"/>
        <v>34897617</v>
      </c>
      <c r="P179" s="1">
        <v>17897035</v>
      </c>
      <c r="Q179" s="4">
        <f t="shared" si="33"/>
        <v>52794652</v>
      </c>
      <c r="R179" s="1">
        <v>5194177</v>
      </c>
      <c r="S179" s="1">
        <v>22147687</v>
      </c>
      <c r="T179" s="4">
        <f t="shared" si="34"/>
        <v>27341864</v>
      </c>
      <c r="U179" s="1">
        <v>80136516</v>
      </c>
      <c r="V179" s="1">
        <v>2017</v>
      </c>
      <c r="W179" s="8">
        <v>9821854</v>
      </c>
      <c r="X179" s="1">
        <v>0.68799999999999994</v>
      </c>
      <c r="Y179" s="1">
        <v>1</v>
      </c>
      <c r="Z179" s="1">
        <v>0</v>
      </c>
      <c r="AA179" s="1">
        <v>167000000</v>
      </c>
      <c r="AB179" s="1">
        <v>4.6437922155688621E-2</v>
      </c>
      <c r="AC179" s="1">
        <v>4.1636850299401194E-2</v>
      </c>
      <c r="AD179" s="1">
        <v>0.15101339520958085</v>
      </c>
      <c r="AE179" s="1">
        <v>1.938623353293413E-2</v>
      </c>
      <c r="AF179" s="2">
        <f t="shared" si="35"/>
        <v>0.17039962874251496</v>
      </c>
      <c r="AG179" s="2">
        <f>AF179+AC179</f>
        <v>0.21203647904191616</v>
      </c>
      <c r="AH179" s="1">
        <v>0.12159452095808383</v>
      </c>
      <c r="AI179" s="2">
        <f t="shared" si="36"/>
        <v>0.25847440119760479</v>
      </c>
      <c r="AJ179" s="1">
        <v>0.114106874251497</v>
      </c>
      <c r="AK179" s="1">
        <v>9.4860892215568857E-2</v>
      </c>
      <c r="AL179" s="4">
        <f t="shared" si="37"/>
        <v>0.20896776646706586</v>
      </c>
      <c r="AM179" s="1">
        <v>0.107167874251497</v>
      </c>
      <c r="AN179" s="4">
        <f t="shared" si="38"/>
        <v>0.31613564071856287</v>
      </c>
      <c r="AO179" s="1">
        <v>3.1102856287425151E-2</v>
      </c>
      <c r="AP179" s="1">
        <v>0.13262088023952096</v>
      </c>
      <c r="AQ179" s="4">
        <f t="shared" si="39"/>
        <v>0.16372373652694611</v>
      </c>
      <c r="AR179" s="1">
        <v>0.47985937724550898</v>
      </c>
      <c r="AS179" s="1">
        <v>0.3800689221556886</v>
      </c>
      <c r="AT179" s="1">
        <v>0.14007170059880236</v>
      </c>
      <c r="AU179" s="1">
        <f t="shared" si="40"/>
        <v>5.8813497005988022E-2</v>
      </c>
      <c r="AV179" s="1">
        <v>11</v>
      </c>
      <c r="AW179">
        <v>478</v>
      </c>
      <c r="AX179">
        <v>329</v>
      </c>
      <c r="AY179" s="6">
        <v>1</v>
      </c>
      <c r="AZ179" s="6">
        <v>12</v>
      </c>
      <c r="BA179" s="11">
        <f t="shared" si="41"/>
        <v>29.875</v>
      </c>
      <c r="BB179">
        <f t="shared" si="42"/>
        <v>20.5625</v>
      </c>
      <c r="BC179">
        <f t="shared" si="43"/>
        <v>149</v>
      </c>
      <c r="BD179">
        <f t="shared" si="44"/>
        <v>9.3125</v>
      </c>
      <c r="BE179" s="10">
        <v>12.389946797472801</v>
      </c>
      <c r="BF179" s="6">
        <v>25.42623</v>
      </c>
      <c r="BG179" s="6">
        <v>27.036539999999999</v>
      </c>
      <c r="BH179" s="6">
        <v>0.65190800000000004</v>
      </c>
      <c r="BI179" s="6">
        <v>0.55737700000000001</v>
      </c>
      <c r="BJ179" s="6"/>
      <c r="BK179" s="6" t="s">
        <v>73</v>
      </c>
      <c r="BL179" s="6" t="s">
        <v>96</v>
      </c>
      <c r="BM179" s="6" t="s">
        <v>93</v>
      </c>
      <c r="BN179" s="6" t="s">
        <v>93</v>
      </c>
    </row>
    <row r="180" spans="1:66">
      <c r="A180" s="1" t="s">
        <v>290</v>
      </c>
      <c r="B180" s="1">
        <v>2017</v>
      </c>
      <c r="C180" s="1" t="s">
        <v>118</v>
      </c>
      <c r="D180" s="1">
        <v>33058282</v>
      </c>
      <c r="E180" s="1">
        <v>3310080</v>
      </c>
      <c r="F180" s="1">
        <v>9776316</v>
      </c>
      <c r="G180" s="1">
        <v>9519411</v>
      </c>
      <c r="H180" s="2">
        <f t="shared" si="30"/>
        <v>19295727</v>
      </c>
      <c r="I180" s="2">
        <f>H180+E180</f>
        <v>22605807</v>
      </c>
      <c r="J180" s="1">
        <v>22688764</v>
      </c>
      <c r="K180" s="2">
        <f t="shared" si="31"/>
        <v>55664089</v>
      </c>
      <c r="L180" s="1">
        <v>78352853</v>
      </c>
      <c r="M180" s="1">
        <v>21338272</v>
      </c>
      <c r="N180" s="1">
        <v>20091185</v>
      </c>
      <c r="O180" s="4">
        <f t="shared" si="32"/>
        <v>41429457</v>
      </c>
      <c r="P180" s="1">
        <v>11883805</v>
      </c>
      <c r="Q180" s="4">
        <f t="shared" si="33"/>
        <v>53313262</v>
      </c>
      <c r="R180" s="1">
        <v>11301524</v>
      </c>
      <c r="S180" s="1">
        <v>5758889</v>
      </c>
      <c r="T180" s="4">
        <f t="shared" si="34"/>
        <v>17060413</v>
      </c>
      <c r="U180" s="1">
        <v>70373675</v>
      </c>
      <c r="V180" s="1">
        <v>2017</v>
      </c>
      <c r="W180" s="8">
        <v>49427310</v>
      </c>
      <c r="X180" s="1">
        <v>0.375</v>
      </c>
      <c r="Y180" s="1">
        <v>0</v>
      </c>
      <c r="Z180" s="1">
        <v>0</v>
      </c>
      <c r="AA180" s="1">
        <v>167000000</v>
      </c>
      <c r="AB180" s="1">
        <v>0.19795378443113773</v>
      </c>
      <c r="AC180" s="1">
        <v>1.9820838323353292E-2</v>
      </c>
      <c r="AD180" s="1">
        <v>5.8540814371257487E-2</v>
      </c>
      <c r="AE180" s="1">
        <v>5.7002461077844312E-2</v>
      </c>
      <c r="AF180" s="2">
        <f t="shared" si="35"/>
        <v>0.1155432754491018</v>
      </c>
      <c r="AG180" s="2">
        <f>AF180+AC180</f>
        <v>0.13536411377245508</v>
      </c>
      <c r="AH180" s="1">
        <v>0.13586086227544911</v>
      </c>
      <c r="AI180" s="2">
        <f t="shared" si="36"/>
        <v>0.33331789820359281</v>
      </c>
      <c r="AJ180" s="1">
        <v>0.12777408383233532</v>
      </c>
      <c r="AK180" s="1">
        <v>0.12030649700598803</v>
      </c>
      <c r="AL180" s="4">
        <f t="shared" si="37"/>
        <v>0.24808058083832335</v>
      </c>
      <c r="AM180" s="1">
        <v>7.1160508982035922E-2</v>
      </c>
      <c r="AN180" s="4">
        <f t="shared" si="38"/>
        <v>0.31924108982035926</v>
      </c>
      <c r="AO180" s="1">
        <v>6.7673796407185627E-2</v>
      </c>
      <c r="AP180" s="1">
        <v>3.4484365269461074E-2</v>
      </c>
      <c r="AQ180" s="4">
        <f t="shared" si="39"/>
        <v>0.10215816167664671</v>
      </c>
      <c r="AR180" s="1">
        <v>0.42139925149700597</v>
      </c>
      <c r="AS180" s="1">
        <v>0.46917876047904189</v>
      </c>
      <c r="AT180" s="1">
        <v>0.1094219880239522</v>
      </c>
      <c r="AU180" s="1">
        <f t="shared" si="40"/>
        <v>0.29597191616766466</v>
      </c>
      <c r="AV180" s="1">
        <v>6</v>
      </c>
      <c r="AW180">
        <v>281</v>
      </c>
      <c r="AX180">
        <v>393</v>
      </c>
      <c r="AY180" s="6">
        <v>28</v>
      </c>
      <c r="AZ180" s="6">
        <v>29</v>
      </c>
      <c r="BA180" s="11">
        <f t="shared" si="41"/>
        <v>17.5625</v>
      </c>
      <c r="BB180">
        <f t="shared" si="42"/>
        <v>24.5625</v>
      </c>
      <c r="BC180">
        <f t="shared" si="43"/>
        <v>-112</v>
      </c>
      <c r="BD180">
        <f t="shared" si="44"/>
        <v>-7</v>
      </c>
      <c r="BE180" s="10">
        <v>4.8096540851160201</v>
      </c>
      <c r="BF180" s="6">
        <v>26.417909999999999</v>
      </c>
      <c r="BG180" s="6">
        <v>28.907609999999998</v>
      </c>
      <c r="BH180" s="6">
        <v>0.63669900000000001</v>
      </c>
      <c r="BI180" s="6">
        <v>0.47761199999999998</v>
      </c>
      <c r="BJ180" s="6"/>
      <c r="BK180" s="6" t="s">
        <v>67</v>
      </c>
      <c r="BL180" s="6" t="s">
        <v>96</v>
      </c>
      <c r="BM180" s="6" t="s">
        <v>70</v>
      </c>
      <c r="BN180" s="6" t="s">
        <v>70</v>
      </c>
    </row>
    <row r="181" spans="1:66">
      <c r="A181" s="1" t="s">
        <v>291</v>
      </c>
      <c r="B181" s="1">
        <v>2017</v>
      </c>
      <c r="C181" s="1" t="s">
        <v>120</v>
      </c>
      <c r="D181" s="1">
        <v>22523284</v>
      </c>
      <c r="E181" s="1">
        <v>6109029</v>
      </c>
      <c r="F181" s="1">
        <v>10830686</v>
      </c>
      <c r="G181" s="1">
        <v>7988864</v>
      </c>
      <c r="H181" s="2">
        <f t="shared" si="30"/>
        <v>18819550</v>
      </c>
      <c r="I181" s="2">
        <f>H181+E181</f>
        <v>24928579</v>
      </c>
      <c r="J181" s="1">
        <v>19431712</v>
      </c>
      <c r="K181" s="2">
        <f t="shared" si="31"/>
        <v>47451863</v>
      </c>
      <c r="L181" s="1">
        <v>66883575</v>
      </c>
      <c r="M181" s="1">
        <v>13847877</v>
      </c>
      <c r="N181" s="1">
        <v>15647606</v>
      </c>
      <c r="O181" s="4">
        <f t="shared" si="32"/>
        <v>29495483</v>
      </c>
      <c r="P181" s="1">
        <v>10635653</v>
      </c>
      <c r="Q181" s="4">
        <f t="shared" si="33"/>
        <v>40131136</v>
      </c>
      <c r="R181" s="1">
        <v>11466277</v>
      </c>
      <c r="S181" s="1">
        <v>21360634</v>
      </c>
      <c r="T181" s="4">
        <f t="shared" si="34"/>
        <v>32826911</v>
      </c>
      <c r="U181" s="1">
        <v>72958047</v>
      </c>
      <c r="V181" s="1">
        <v>2017</v>
      </c>
      <c r="W181" s="8">
        <v>23876146</v>
      </c>
      <c r="X181" s="1">
        <v>0.81299999999999994</v>
      </c>
      <c r="Y181" s="1">
        <v>1</v>
      </c>
      <c r="Z181" s="1">
        <v>0</v>
      </c>
      <c r="AA181" s="1">
        <v>167000000</v>
      </c>
      <c r="AB181" s="1">
        <v>0.13486996407185628</v>
      </c>
      <c r="AC181" s="1">
        <v>3.6581011976047906E-2</v>
      </c>
      <c r="AD181" s="1">
        <v>6.4854407185628737E-2</v>
      </c>
      <c r="AE181" s="1">
        <v>4.7837508982035926E-2</v>
      </c>
      <c r="AF181" s="2">
        <f t="shared" si="35"/>
        <v>0.11269191616766466</v>
      </c>
      <c r="AG181" s="2">
        <f>AF181+AC181</f>
        <v>0.14927292814371257</v>
      </c>
      <c r="AH181" s="1">
        <v>0.11635755688622755</v>
      </c>
      <c r="AI181" s="2">
        <f t="shared" si="36"/>
        <v>0.28414289221556888</v>
      </c>
      <c r="AJ181" s="1">
        <v>8.2921419161676641E-2</v>
      </c>
      <c r="AK181" s="1">
        <v>9.3698239520958085E-2</v>
      </c>
      <c r="AL181" s="4">
        <f t="shared" si="37"/>
        <v>0.17661965868263474</v>
      </c>
      <c r="AM181" s="1">
        <v>6.3686544910179638E-2</v>
      </c>
      <c r="AN181" s="4">
        <f t="shared" si="38"/>
        <v>0.24030620359281438</v>
      </c>
      <c r="AO181" s="1">
        <v>6.8660341317365273E-2</v>
      </c>
      <c r="AP181" s="1">
        <v>0.12790798802395209</v>
      </c>
      <c r="AQ181" s="4">
        <f t="shared" si="39"/>
        <v>0.19656832934131735</v>
      </c>
      <c r="AR181" s="1">
        <v>0.43687453293413175</v>
      </c>
      <c r="AS181" s="1">
        <v>0.40050044910179639</v>
      </c>
      <c r="AT181" s="1">
        <v>0.16262501796407181</v>
      </c>
      <c r="AU181" s="1">
        <f t="shared" si="40"/>
        <v>0.14297093413173653</v>
      </c>
      <c r="AV181" s="1">
        <v>13</v>
      </c>
      <c r="AW181">
        <v>382</v>
      </c>
      <c r="AX181">
        <v>252</v>
      </c>
      <c r="AY181" s="6">
        <v>10</v>
      </c>
      <c r="AZ181" s="6">
        <v>1</v>
      </c>
      <c r="BA181" s="11">
        <f t="shared" si="41"/>
        <v>23.875</v>
      </c>
      <c r="BB181">
        <f t="shared" si="42"/>
        <v>15.75</v>
      </c>
      <c r="BC181">
        <f t="shared" si="43"/>
        <v>130</v>
      </c>
      <c r="BD181">
        <f t="shared" si="44"/>
        <v>8.125</v>
      </c>
      <c r="BE181" s="10">
        <v>11.838124722626899</v>
      </c>
      <c r="BF181" s="6">
        <v>26.283329999999999</v>
      </c>
      <c r="BG181" s="6">
        <v>28.292560000000002</v>
      </c>
      <c r="BH181" s="6">
        <v>0.58905600000000002</v>
      </c>
      <c r="BI181" s="6">
        <v>0.6</v>
      </c>
      <c r="BJ181" s="6"/>
      <c r="BK181" s="6" t="s">
        <v>80</v>
      </c>
      <c r="BL181" s="6" t="s">
        <v>74</v>
      </c>
      <c r="BM181" s="6" t="s">
        <v>81</v>
      </c>
      <c r="BN181" s="6" t="s">
        <v>70</v>
      </c>
    </row>
    <row r="182" spans="1:66">
      <c r="A182" s="1" t="s">
        <v>292</v>
      </c>
      <c r="B182" s="1">
        <v>2017</v>
      </c>
      <c r="C182" s="1" t="s">
        <v>122</v>
      </c>
      <c r="D182" s="1">
        <v>14476471</v>
      </c>
      <c r="E182" s="1">
        <v>11010522</v>
      </c>
      <c r="F182" s="1">
        <v>18838336</v>
      </c>
      <c r="G182" s="1">
        <v>12917262</v>
      </c>
      <c r="H182" s="2">
        <f t="shared" si="30"/>
        <v>31755598</v>
      </c>
      <c r="I182" s="2">
        <f>H182+E182</f>
        <v>42766120</v>
      </c>
      <c r="J182" s="1">
        <v>22196744</v>
      </c>
      <c r="K182" s="2">
        <f t="shared" si="31"/>
        <v>57242591</v>
      </c>
      <c r="L182" s="1">
        <v>79439335</v>
      </c>
      <c r="M182" s="1">
        <v>10484357</v>
      </c>
      <c r="N182" s="1">
        <v>5229052</v>
      </c>
      <c r="O182" s="4">
        <f t="shared" si="32"/>
        <v>15713409</v>
      </c>
      <c r="P182" s="1">
        <v>13278110</v>
      </c>
      <c r="Q182" s="4">
        <f t="shared" si="33"/>
        <v>28991519</v>
      </c>
      <c r="R182" s="1">
        <v>23735041</v>
      </c>
      <c r="S182" s="1">
        <v>16603309</v>
      </c>
      <c r="T182" s="4">
        <f t="shared" si="34"/>
        <v>40338350</v>
      </c>
      <c r="U182" s="1">
        <v>69329869</v>
      </c>
      <c r="V182" s="1">
        <v>2017</v>
      </c>
      <c r="W182" s="8">
        <v>26316207</v>
      </c>
      <c r="X182" s="1">
        <v>0.81299999999999994</v>
      </c>
      <c r="Y182" s="1">
        <v>1</v>
      </c>
      <c r="Z182" s="1">
        <v>0</v>
      </c>
      <c r="AA182" s="1">
        <v>167000000</v>
      </c>
      <c r="AB182" s="1">
        <v>8.6685455089820354E-2</v>
      </c>
      <c r="AC182" s="1">
        <v>6.5931269461077843E-2</v>
      </c>
      <c r="AD182" s="1">
        <v>0.11280440718562874</v>
      </c>
      <c r="AE182" s="1">
        <v>7.7348874251497002E-2</v>
      </c>
      <c r="AF182" s="2">
        <f t="shared" si="35"/>
        <v>0.19015328143712573</v>
      </c>
      <c r="AG182" s="2">
        <f>AF182+AC182</f>
        <v>0.25608455089820359</v>
      </c>
      <c r="AH182" s="1">
        <v>0.13291463473053891</v>
      </c>
      <c r="AI182" s="2">
        <f t="shared" si="36"/>
        <v>0.34277000598802393</v>
      </c>
      <c r="AJ182" s="1">
        <v>6.2780580838323358E-2</v>
      </c>
      <c r="AK182" s="1">
        <v>3.1311688622754491E-2</v>
      </c>
      <c r="AL182" s="4">
        <f t="shared" si="37"/>
        <v>9.4092269461077849E-2</v>
      </c>
      <c r="AM182" s="1">
        <v>7.9509640718562868E-2</v>
      </c>
      <c r="AN182" s="4">
        <f t="shared" si="38"/>
        <v>0.17360191017964072</v>
      </c>
      <c r="AO182" s="1">
        <v>0.14212599401197604</v>
      </c>
      <c r="AP182" s="1">
        <v>9.9421011976047899E-2</v>
      </c>
      <c r="AQ182" s="4">
        <f t="shared" si="39"/>
        <v>0.24154700598802392</v>
      </c>
      <c r="AR182" s="1">
        <v>0.41514891616766469</v>
      </c>
      <c r="AS182" s="1">
        <v>0.47568464071856287</v>
      </c>
      <c r="AT182" s="1">
        <v>0.10916644311377244</v>
      </c>
      <c r="AU182" s="1">
        <f t="shared" si="40"/>
        <v>0.15758207784431139</v>
      </c>
      <c r="AV182" s="1">
        <v>13</v>
      </c>
      <c r="AW182">
        <v>458</v>
      </c>
      <c r="AX182">
        <v>296</v>
      </c>
      <c r="AY182" s="6">
        <v>2</v>
      </c>
      <c r="AZ182" s="6">
        <v>5</v>
      </c>
      <c r="BA182" s="11">
        <f t="shared" si="41"/>
        <v>28.625</v>
      </c>
      <c r="BB182">
        <f t="shared" si="42"/>
        <v>18.5</v>
      </c>
      <c r="BC182">
        <f t="shared" si="43"/>
        <v>162</v>
      </c>
      <c r="BD182">
        <f t="shared" si="44"/>
        <v>10.125</v>
      </c>
      <c r="BE182" s="10">
        <v>12.7675092697358</v>
      </c>
      <c r="BF182" s="6">
        <v>27.03125</v>
      </c>
      <c r="BG182" s="6">
        <v>29.24999</v>
      </c>
      <c r="BH182" s="6">
        <v>0.55908599999999997</v>
      </c>
      <c r="BI182" s="6">
        <v>0.65625</v>
      </c>
      <c r="BJ182" s="6"/>
      <c r="BK182" s="6" t="s">
        <v>67</v>
      </c>
      <c r="BL182" s="6" t="s">
        <v>74</v>
      </c>
      <c r="BM182" s="6" t="s">
        <v>102</v>
      </c>
      <c r="BN182" s="6" t="s">
        <v>70</v>
      </c>
    </row>
    <row r="183" spans="1:66">
      <c r="A183" s="1" t="s">
        <v>293</v>
      </c>
      <c r="B183" s="1">
        <v>2017</v>
      </c>
      <c r="C183" s="1" t="s">
        <v>124</v>
      </c>
      <c r="D183" s="1">
        <v>20365000</v>
      </c>
      <c r="E183" s="1">
        <v>6649958</v>
      </c>
      <c r="F183" s="1">
        <v>7172234</v>
      </c>
      <c r="G183" s="1">
        <v>13281931</v>
      </c>
      <c r="H183" s="2">
        <f t="shared" si="30"/>
        <v>20454165</v>
      </c>
      <c r="I183" s="2">
        <f>H183+E183</f>
        <v>27104123</v>
      </c>
      <c r="J183" s="1">
        <v>32749192</v>
      </c>
      <c r="K183" s="2">
        <f t="shared" si="31"/>
        <v>47469123</v>
      </c>
      <c r="L183" s="1">
        <v>80218315</v>
      </c>
      <c r="M183" s="1">
        <v>7351727</v>
      </c>
      <c r="N183" s="1">
        <v>15826140</v>
      </c>
      <c r="O183" s="4">
        <f t="shared" si="32"/>
        <v>23177867</v>
      </c>
      <c r="P183" s="1">
        <v>11368168</v>
      </c>
      <c r="Q183" s="4">
        <f t="shared" si="33"/>
        <v>34546035</v>
      </c>
      <c r="R183" s="1">
        <v>9465615</v>
      </c>
      <c r="S183" s="1">
        <v>5035764</v>
      </c>
      <c r="T183" s="4">
        <f t="shared" si="34"/>
        <v>14501379</v>
      </c>
      <c r="U183" s="1">
        <v>49047414</v>
      </c>
      <c r="V183" s="1">
        <v>2017</v>
      </c>
      <c r="W183" s="8">
        <v>37652072</v>
      </c>
      <c r="X183" s="1">
        <v>0.68799999999999994</v>
      </c>
      <c r="Y183" s="1">
        <v>1</v>
      </c>
      <c r="Z183" s="1">
        <v>0</v>
      </c>
      <c r="AA183" s="1">
        <v>167000000</v>
      </c>
      <c r="AB183" s="1">
        <v>0.12194610778443114</v>
      </c>
      <c r="AC183" s="1">
        <v>3.9820107784431139E-2</v>
      </c>
      <c r="AD183" s="1">
        <v>4.2947508982035927E-2</v>
      </c>
      <c r="AE183" s="1">
        <v>7.953252095808383E-2</v>
      </c>
      <c r="AF183" s="2">
        <f t="shared" si="35"/>
        <v>0.12248002994011975</v>
      </c>
      <c r="AG183" s="2">
        <f>AF183+AC183</f>
        <v>0.16230013772455087</v>
      </c>
      <c r="AH183" s="1">
        <v>0.19610294610778442</v>
      </c>
      <c r="AI183" s="2">
        <f t="shared" si="36"/>
        <v>0.28424624550898203</v>
      </c>
      <c r="AJ183" s="1">
        <v>4.4022317365269459E-2</v>
      </c>
      <c r="AK183" s="1">
        <v>9.4767305389221554E-2</v>
      </c>
      <c r="AL183" s="4">
        <f t="shared" si="37"/>
        <v>0.13878962275449103</v>
      </c>
      <c r="AM183" s="1">
        <v>6.8072862275449106E-2</v>
      </c>
      <c r="AN183" s="4">
        <f t="shared" si="38"/>
        <v>0.20686248502994015</v>
      </c>
      <c r="AO183" s="1">
        <v>5.6680329341317365E-2</v>
      </c>
      <c r="AP183" s="1">
        <v>3.0154275449101795E-2</v>
      </c>
      <c r="AQ183" s="4">
        <f t="shared" si="39"/>
        <v>8.6834604790419156E-2</v>
      </c>
      <c r="AR183" s="1">
        <v>0.2936970898203593</v>
      </c>
      <c r="AS183" s="1">
        <v>0.48034919161676648</v>
      </c>
      <c r="AT183" s="1">
        <v>0.22595371856287416</v>
      </c>
      <c r="AU183" s="1">
        <f t="shared" si="40"/>
        <v>0.22546150898203593</v>
      </c>
      <c r="AV183" s="1">
        <v>11</v>
      </c>
      <c r="AW183">
        <v>448</v>
      </c>
      <c r="AX183">
        <v>326</v>
      </c>
      <c r="AY183" s="6">
        <v>4</v>
      </c>
      <c r="AZ183" s="6">
        <v>10</v>
      </c>
      <c r="BA183" s="11">
        <f t="shared" si="41"/>
        <v>28</v>
      </c>
      <c r="BB183">
        <f t="shared" si="42"/>
        <v>20.375</v>
      </c>
      <c r="BC183">
        <f t="shared" si="43"/>
        <v>122</v>
      </c>
      <c r="BD183">
        <f t="shared" si="44"/>
        <v>7.625</v>
      </c>
      <c r="BE183" s="10">
        <v>11.6057785858497</v>
      </c>
      <c r="BF183" s="6">
        <v>26.33333</v>
      </c>
      <c r="BG183" s="6">
        <v>28.8643</v>
      </c>
      <c r="BH183" s="6">
        <v>0.64033099999999998</v>
      </c>
      <c r="BI183" s="6">
        <v>0.45833299999999999</v>
      </c>
      <c r="BJ183" s="6"/>
      <c r="BK183" s="6" t="s">
        <v>67</v>
      </c>
      <c r="BL183" s="6" t="s">
        <v>96</v>
      </c>
      <c r="BM183" s="6" t="s">
        <v>70</v>
      </c>
      <c r="BN183" s="6" t="s">
        <v>70</v>
      </c>
    </row>
    <row r="184" spans="1:66">
      <c r="A184" s="1" t="s">
        <v>294</v>
      </c>
      <c r="B184" s="1">
        <v>2017</v>
      </c>
      <c r="C184" s="1" t="s">
        <v>126</v>
      </c>
      <c r="D184" s="1">
        <v>21444105</v>
      </c>
      <c r="E184" s="1">
        <v>6846041</v>
      </c>
      <c r="F184" s="1">
        <v>14572454</v>
      </c>
      <c r="G184" s="1">
        <v>4806305</v>
      </c>
      <c r="H184" s="2">
        <f t="shared" si="30"/>
        <v>19378759</v>
      </c>
      <c r="I184" s="2">
        <f>H184+E184</f>
        <v>26224800</v>
      </c>
      <c r="J184" s="1">
        <v>21971246</v>
      </c>
      <c r="K184" s="2">
        <f t="shared" si="31"/>
        <v>47668905</v>
      </c>
      <c r="L184" s="1">
        <v>69640151</v>
      </c>
      <c r="M184" s="1">
        <v>13231093</v>
      </c>
      <c r="N184" s="1">
        <v>26432590</v>
      </c>
      <c r="O184" s="4">
        <f t="shared" si="32"/>
        <v>39663683</v>
      </c>
      <c r="P184" s="1">
        <v>11922152</v>
      </c>
      <c r="Q184" s="4">
        <f t="shared" si="33"/>
        <v>51585835</v>
      </c>
      <c r="R184" s="1">
        <v>3870386</v>
      </c>
      <c r="S184" s="1">
        <v>27976841</v>
      </c>
      <c r="T184" s="4">
        <f t="shared" si="34"/>
        <v>31847227</v>
      </c>
      <c r="U184" s="1">
        <v>83433062</v>
      </c>
      <c r="V184" s="1">
        <v>2017</v>
      </c>
      <c r="W184" s="8">
        <v>52752736</v>
      </c>
      <c r="X184" s="1">
        <v>0.188</v>
      </c>
      <c r="Y184" s="1">
        <v>0</v>
      </c>
      <c r="Z184" s="1">
        <v>0</v>
      </c>
      <c r="AA184" s="1">
        <v>167000000</v>
      </c>
      <c r="AB184" s="1">
        <v>0.12840781437125748</v>
      </c>
      <c r="AC184" s="1">
        <v>4.0994257485029939E-2</v>
      </c>
      <c r="AD184" s="1">
        <v>8.7260203592814375E-2</v>
      </c>
      <c r="AE184" s="1">
        <v>2.8780269461077843E-2</v>
      </c>
      <c r="AF184" s="2">
        <f t="shared" si="35"/>
        <v>0.11604047305389222</v>
      </c>
      <c r="AG184" s="2">
        <f>AF184+AC184</f>
        <v>0.15703473053892214</v>
      </c>
      <c r="AH184" s="1">
        <v>0.13156434730538921</v>
      </c>
      <c r="AI184" s="2">
        <f t="shared" si="36"/>
        <v>0.28544254491017967</v>
      </c>
      <c r="AJ184" s="1">
        <v>7.9228101796407185E-2</v>
      </c>
      <c r="AK184" s="1">
        <v>0.15827898203592813</v>
      </c>
      <c r="AL184" s="4">
        <f t="shared" si="37"/>
        <v>0.23750708383233532</v>
      </c>
      <c r="AM184" s="1">
        <v>7.1390131736526946E-2</v>
      </c>
      <c r="AN184" s="4">
        <f t="shared" si="38"/>
        <v>0.30889721556886229</v>
      </c>
      <c r="AO184" s="1">
        <v>2.3175964071856289E-2</v>
      </c>
      <c r="AP184" s="1">
        <v>0.16752599401197604</v>
      </c>
      <c r="AQ184" s="4">
        <f t="shared" si="39"/>
        <v>0.19070195808383233</v>
      </c>
      <c r="AR184" s="1">
        <v>0.49959917365269463</v>
      </c>
      <c r="AS184" s="1">
        <v>0.41700689221556886</v>
      </c>
      <c r="AT184" s="1">
        <v>8.3393934131736458E-2</v>
      </c>
      <c r="AU184" s="1">
        <f t="shared" si="40"/>
        <v>0.31588464670658684</v>
      </c>
      <c r="AV184" s="1">
        <v>3</v>
      </c>
      <c r="AW184">
        <v>246</v>
      </c>
      <c r="AX184">
        <v>388</v>
      </c>
      <c r="AY184" s="6">
        <v>31</v>
      </c>
      <c r="AZ184" s="6">
        <v>27</v>
      </c>
      <c r="BA184" s="11">
        <f t="shared" si="41"/>
        <v>15.375</v>
      </c>
      <c r="BB184">
        <f t="shared" si="42"/>
        <v>24.25</v>
      </c>
      <c r="BC184">
        <f t="shared" si="43"/>
        <v>-142</v>
      </c>
      <c r="BD184">
        <f t="shared" si="44"/>
        <v>-8.875</v>
      </c>
      <c r="BE184" s="10">
        <v>3.9383560722014499</v>
      </c>
      <c r="BF184" s="6">
        <v>25.802630000000001</v>
      </c>
      <c r="BG184" s="6">
        <v>28.479759999999999</v>
      </c>
      <c r="BH184" s="6">
        <v>0.68534499999999998</v>
      </c>
      <c r="BI184" s="6">
        <v>0.513158</v>
      </c>
      <c r="BJ184" s="6"/>
      <c r="BK184" s="6" t="s">
        <v>67</v>
      </c>
      <c r="BL184" s="6" t="s">
        <v>96</v>
      </c>
      <c r="BM184" s="6" t="s">
        <v>70</v>
      </c>
      <c r="BN184" s="6" t="s">
        <v>70</v>
      </c>
    </row>
    <row r="185" spans="1:66">
      <c r="A185" s="1" t="s">
        <v>295</v>
      </c>
      <c r="B185" s="1">
        <v>2017</v>
      </c>
      <c r="C185" s="1" t="s">
        <v>128</v>
      </c>
      <c r="D185" s="1">
        <v>8334184</v>
      </c>
      <c r="E185" s="1">
        <v>10310192</v>
      </c>
      <c r="F185" s="1">
        <v>8058956</v>
      </c>
      <c r="G185" s="1">
        <v>2443262</v>
      </c>
      <c r="H185" s="2">
        <f t="shared" si="30"/>
        <v>10502218</v>
      </c>
      <c r="I185" s="2">
        <f>H185+E185</f>
        <v>20812410</v>
      </c>
      <c r="J185" s="1">
        <v>29743163</v>
      </c>
      <c r="K185" s="2">
        <f t="shared" si="31"/>
        <v>29146594</v>
      </c>
      <c r="L185" s="1">
        <v>58889757</v>
      </c>
      <c r="M185" s="1">
        <v>30004586</v>
      </c>
      <c r="N185" s="1">
        <v>5244382</v>
      </c>
      <c r="O185" s="4">
        <f t="shared" si="32"/>
        <v>35248968</v>
      </c>
      <c r="P185" s="1">
        <v>5963101</v>
      </c>
      <c r="Q185" s="4">
        <f t="shared" si="33"/>
        <v>41212069</v>
      </c>
      <c r="R185" s="1">
        <v>6921694</v>
      </c>
      <c r="S185" s="1">
        <v>16360022</v>
      </c>
      <c r="T185" s="4">
        <f t="shared" si="34"/>
        <v>23281716</v>
      </c>
      <c r="U185" s="1">
        <v>64493785</v>
      </c>
      <c r="V185" s="1">
        <v>2017</v>
      </c>
      <c r="W185" s="8">
        <v>25717942</v>
      </c>
      <c r="X185" s="1">
        <v>0.313</v>
      </c>
      <c r="Y185" s="1">
        <v>0</v>
      </c>
      <c r="Z185" s="1">
        <v>0</v>
      </c>
      <c r="AA185" s="1">
        <v>167000000</v>
      </c>
      <c r="AB185" s="1">
        <v>4.9905293413173651E-2</v>
      </c>
      <c r="AC185" s="1">
        <v>6.1737676646706589E-2</v>
      </c>
      <c r="AD185" s="1">
        <v>4.8257221556886228E-2</v>
      </c>
      <c r="AE185" s="1">
        <v>1.4630311377245509E-2</v>
      </c>
      <c r="AF185" s="2">
        <f t="shared" si="35"/>
        <v>6.288753293413174E-2</v>
      </c>
      <c r="AG185" s="2">
        <f>AF185+AC185</f>
        <v>0.12462520958083834</v>
      </c>
      <c r="AH185" s="1">
        <v>0.17810277245508982</v>
      </c>
      <c r="AI185" s="2">
        <f t="shared" si="36"/>
        <v>0.17453050299401199</v>
      </c>
      <c r="AJ185" s="1">
        <v>0.17966817964071857</v>
      </c>
      <c r="AK185" s="1">
        <v>3.1403485029940122E-2</v>
      </c>
      <c r="AL185" s="4">
        <f t="shared" si="37"/>
        <v>0.21107166467065869</v>
      </c>
      <c r="AM185" s="1">
        <v>3.570719161676647E-2</v>
      </c>
      <c r="AN185" s="4">
        <f t="shared" si="38"/>
        <v>0.24677885628742516</v>
      </c>
      <c r="AO185" s="1">
        <v>4.1447269461077844E-2</v>
      </c>
      <c r="AP185" s="1">
        <v>9.7964203592814367E-2</v>
      </c>
      <c r="AQ185" s="4">
        <f t="shared" si="39"/>
        <v>0.1394114730538922</v>
      </c>
      <c r="AR185" s="1">
        <v>0.38619032934131736</v>
      </c>
      <c r="AS185" s="1">
        <v>0.35263327544910178</v>
      </c>
      <c r="AT185" s="1">
        <v>0.26117639520958091</v>
      </c>
      <c r="AU185" s="1">
        <f t="shared" si="40"/>
        <v>0.15399965269461077</v>
      </c>
      <c r="AV185" s="1">
        <v>5</v>
      </c>
      <c r="AW185">
        <v>298</v>
      </c>
      <c r="AX185">
        <v>382</v>
      </c>
      <c r="AY185" s="6">
        <v>24</v>
      </c>
      <c r="AZ185" s="6">
        <v>22</v>
      </c>
      <c r="BA185" s="11">
        <f t="shared" si="41"/>
        <v>18.625</v>
      </c>
      <c r="BB185">
        <f t="shared" si="42"/>
        <v>23.875</v>
      </c>
      <c r="BC185">
        <f t="shared" si="43"/>
        <v>-84</v>
      </c>
      <c r="BD185">
        <f t="shared" si="44"/>
        <v>-5.25</v>
      </c>
      <c r="BE185" s="10">
        <v>5.6228655638362897</v>
      </c>
      <c r="BF185" s="6">
        <v>25.544119999999999</v>
      </c>
      <c r="BG185" s="6">
        <v>27.35031</v>
      </c>
      <c r="BH185" s="6">
        <v>0.61783200000000005</v>
      </c>
      <c r="BI185" s="6">
        <v>0.52941199999999999</v>
      </c>
      <c r="BJ185" s="6"/>
      <c r="BK185" s="6" t="s">
        <v>73</v>
      </c>
      <c r="BL185" s="6" t="s">
        <v>68</v>
      </c>
      <c r="BM185" s="6" t="s">
        <v>99</v>
      </c>
      <c r="BN185" s="6" t="s">
        <v>93</v>
      </c>
    </row>
    <row r="186" spans="1:66">
      <c r="A186" s="1" t="s">
        <v>296</v>
      </c>
      <c r="B186" s="1">
        <v>2017</v>
      </c>
      <c r="C186" s="1" t="s">
        <v>112</v>
      </c>
      <c r="D186" s="1">
        <v>17066663</v>
      </c>
      <c r="E186" s="1">
        <v>3913937</v>
      </c>
      <c r="F186" s="1">
        <v>21228435</v>
      </c>
      <c r="G186" s="1">
        <v>8513978</v>
      </c>
      <c r="H186" s="2">
        <f>SUM(F186:G186)</f>
        <v>29742413</v>
      </c>
      <c r="I186" s="2">
        <f>H186+E186</f>
        <v>33656350</v>
      </c>
      <c r="J186" s="1">
        <v>43010782</v>
      </c>
      <c r="K186" s="2">
        <f>SUM(D186:G186)</f>
        <v>50723013</v>
      </c>
      <c r="L186" s="1">
        <v>93733795</v>
      </c>
      <c r="M186" s="1">
        <v>4925768</v>
      </c>
      <c r="N186" s="1">
        <v>16020328</v>
      </c>
      <c r="O186" s="4">
        <f>SUM(M186:N186)</f>
        <v>20946096</v>
      </c>
      <c r="P186" s="1">
        <v>3913692</v>
      </c>
      <c r="Q186" s="4">
        <f>SUM(O186:P186)</f>
        <v>24859788</v>
      </c>
      <c r="R186" s="1">
        <v>11365174</v>
      </c>
      <c r="S186" s="1">
        <v>22873492</v>
      </c>
      <c r="T186" s="4">
        <f>SUM(R186:S186)</f>
        <v>34238666</v>
      </c>
      <c r="U186" s="1">
        <v>59098454</v>
      </c>
      <c r="V186" s="1">
        <v>2017</v>
      </c>
      <c r="W186" s="8">
        <v>15674134</v>
      </c>
      <c r="X186" s="1">
        <v>0.375</v>
      </c>
      <c r="Y186" s="1">
        <v>0</v>
      </c>
      <c r="Z186" s="1">
        <v>0</v>
      </c>
      <c r="AA186" s="1">
        <v>167000000</v>
      </c>
      <c r="AB186" s="1">
        <v>0.1021955868263473</v>
      </c>
      <c r="AC186" s="1">
        <v>2.3436748502994011E-2</v>
      </c>
      <c r="AD186" s="1">
        <v>0.12711637724550898</v>
      </c>
      <c r="AE186" s="1">
        <v>5.0981904191616766E-2</v>
      </c>
      <c r="AF186" s="2">
        <f>SUM(AD186:AE186)</f>
        <v>0.17809828143712575</v>
      </c>
      <c r="AG186" s="2">
        <f>AF186+AC186</f>
        <v>0.20153502994011976</v>
      </c>
      <c r="AH186" s="1">
        <v>0.25754959281437123</v>
      </c>
      <c r="AI186" s="2">
        <f>SUM(AB186:AE186)</f>
        <v>0.30373061676646707</v>
      </c>
      <c r="AJ186" s="1">
        <v>2.9495616766467066E-2</v>
      </c>
      <c r="AK186" s="1">
        <v>9.5930107784431132E-2</v>
      </c>
      <c r="AL186" s="4">
        <f>SUM(AJ186:AK186)</f>
        <v>0.1254257245508982</v>
      </c>
      <c r="AM186" s="1">
        <v>2.3435281437125748E-2</v>
      </c>
      <c r="AN186" s="4">
        <f>SUM(AL186:AM186)</f>
        <v>0.14886100598802396</v>
      </c>
      <c r="AO186" s="1">
        <v>6.8054934131736522E-2</v>
      </c>
      <c r="AP186" s="1">
        <v>0.13696701796407185</v>
      </c>
      <c r="AQ186" s="4">
        <f>SUM(AO186:AP186)</f>
        <v>0.20502195209580837</v>
      </c>
      <c r="AR186" s="1">
        <v>0.35388295808383236</v>
      </c>
      <c r="AS186" s="1">
        <v>0.56128020958083835</v>
      </c>
      <c r="AT186" s="1">
        <v>8.4836832335329238E-2</v>
      </c>
      <c r="AU186" s="1">
        <f t="shared" si="40"/>
        <v>9.3857089820359285E-2</v>
      </c>
      <c r="AV186" s="1">
        <v>6</v>
      </c>
      <c r="AW186">
        <v>301</v>
      </c>
      <c r="AX186">
        <v>373</v>
      </c>
      <c r="AY186" s="6">
        <v>23</v>
      </c>
      <c r="AZ186" s="6">
        <v>20</v>
      </c>
      <c r="BA186" s="11">
        <f t="shared" si="41"/>
        <v>18.8125</v>
      </c>
      <c r="BB186">
        <f t="shared" si="42"/>
        <v>23.3125</v>
      </c>
      <c r="BC186">
        <f t="shared" si="43"/>
        <v>-72</v>
      </c>
      <c r="BD186">
        <f t="shared" si="44"/>
        <v>-4.5</v>
      </c>
      <c r="BE186" s="10">
        <v>5.9713847690021202</v>
      </c>
      <c r="BF186" s="6">
        <v>26.322579999999999</v>
      </c>
      <c r="BG186" s="6">
        <v>27.845130000000001</v>
      </c>
      <c r="BH186" s="6">
        <v>0.61923399999999995</v>
      </c>
      <c r="BI186" s="6">
        <v>0.64516099999999998</v>
      </c>
      <c r="BJ186" s="6"/>
      <c r="BK186" s="6" t="s">
        <v>80</v>
      </c>
      <c r="BL186" s="6" t="s">
        <v>68</v>
      </c>
      <c r="BM186" s="6" t="s">
        <v>92</v>
      </c>
      <c r="BN186" s="6" t="s">
        <v>93</v>
      </c>
    </row>
    <row r="187" spans="1:66">
      <c r="A187" s="1" t="s">
        <v>297</v>
      </c>
      <c r="B187" s="1">
        <v>2017</v>
      </c>
      <c r="C187" s="1" t="s">
        <v>130</v>
      </c>
      <c r="D187" s="1">
        <v>7948686</v>
      </c>
      <c r="E187" s="1">
        <v>7712155</v>
      </c>
      <c r="F187" s="1">
        <v>20433394</v>
      </c>
      <c r="G187" s="1">
        <v>10106000</v>
      </c>
      <c r="H187" s="2">
        <f t="shared" si="30"/>
        <v>30539394</v>
      </c>
      <c r="I187" s="2">
        <f>H187+E187</f>
        <v>38251549</v>
      </c>
      <c r="J187" s="1">
        <v>34671590</v>
      </c>
      <c r="K187" s="2">
        <f t="shared" si="31"/>
        <v>46200235</v>
      </c>
      <c r="L187" s="1">
        <v>80871825</v>
      </c>
      <c r="M187" s="1">
        <v>14920141</v>
      </c>
      <c r="N187" s="1">
        <v>21800072</v>
      </c>
      <c r="O187" s="4">
        <f t="shared" si="32"/>
        <v>36720213</v>
      </c>
      <c r="P187" s="1">
        <v>14705805</v>
      </c>
      <c r="Q187" s="4">
        <f t="shared" si="33"/>
        <v>51426018</v>
      </c>
      <c r="R187" s="1">
        <v>14776850</v>
      </c>
      <c r="S187" s="1">
        <v>4361412</v>
      </c>
      <c r="T187" s="4">
        <f t="shared" si="34"/>
        <v>19138262</v>
      </c>
      <c r="U187" s="1">
        <v>70564280</v>
      </c>
      <c r="V187" s="1">
        <v>2017</v>
      </c>
      <c r="W187" s="8">
        <v>22357948</v>
      </c>
      <c r="X187" s="1">
        <v>0.81299999999999994</v>
      </c>
      <c r="Y187" s="1">
        <v>1</v>
      </c>
      <c r="Z187" s="1">
        <v>1</v>
      </c>
      <c r="AA187" s="1">
        <v>167000000</v>
      </c>
      <c r="AB187" s="1">
        <v>4.7596922155688622E-2</v>
      </c>
      <c r="AC187" s="1">
        <v>4.6180568862275451E-2</v>
      </c>
      <c r="AD187" s="1">
        <v>0.12235565269461078</v>
      </c>
      <c r="AE187" s="1">
        <v>6.0514970059880241E-2</v>
      </c>
      <c r="AF187" s="2">
        <f t="shared" si="35"/>
        <v>0.18287062275449101</v>
      </c>
      <c r="AG187" s="2">
        <f>AF187+AC187</f>
        <v>0.22905119161676646</v>
      </c>
      <c r="AH187" s="1">
        <v>0.20761431137724551</v>
      </c>
      <c r="AI187" s="2">
        <f t="shared" si="36"/>
        <v>0.27664811377245513</v>
      </c>
      <c r="AJ187" s="1">
        <v>8.93421616766467E-2</v>
      </c>
      <c r="AK187" s="1">
        <v>0.13053935329341318</v>
      </c>
      <c r="AL187" s="4">
        <f t="shared" si="37"/>
        <v>0.21988151497005987</v>
      </c>
      <c r="AM187" s="1">
        <v>8.8058712574850304E-2</v>
      </c>
      <c r="AN187" s="4">
        <f t="shared" si="38"/>
        <v>0.30794022754491018</v>
      </c>
      <c r="AO187" s="1">
        <v>8.8484131736526944E-2</v>
      </c>
      <c r="AP187" s="1">
        <v>2.6116239520958085E-2</v>
      </c>
      <c r="AQ187" s="4">
        <f t="shared" si="39"/>
        <v>0.11460037125748503</v>
      </c>
      <c r="AR187" s="1">
        <v>0.4225405988023952</v>
      </c>
      <c r="AS187" s="1">
        <v>0.48426242514970058</v>
      </c>
      <c r="AT187" s="1">
        <v>9.3196976047904223E-2</v>
      </c>
      <c r="AU187" s="1">
        <f t="shared" si="40"/>
        <v>0.13387992814371258</v>
      </c>
      <c r="AV187" s="1">
        <v>13</v>
      </c>
      <c r="AW187">
        <v>457</v>
      </c>
      <c r="AX187">
        <v>295</v>
      </c>
      <c r="AY187" s="6">
        <v>3</v>
      </c>
      <c r="AZ187" s="6">
        <v>4</v>
      </c>
      <c r="BA187" s="11">
        <f t="shared" si="41"/>
        <v>28.5625</v>
      </c>
      <c r="BB187">
        <f t="shared" si="42"/>
        <v>18.4375</v>
      </c>
      <c r="BC187">
        <f t="shared" si="43"/>
        <v>162</v>
      </c>
      <c r="BD187">
        <f t="shared" si="44"/>
        <v>10.125</v>
      </c>
      <c r="BE187" s="10">
        <v>12.7675092697358</v>
      </c>
      <c r="BF187" s="6">
        <v>26.59375</v>
      </c>
      <c r="BG187" s="6">
        <v>27.99005</v>
      </c>
      <c r="BH187" s="6">
        <v>0.57113400000000003</v>
      </c>
      <c r="BI187" s="6">
        <v>0.5625</v>
      </c>
      <c r="BJ187" s="6"/>
      <c r="BK187" s="6" t="s">
        <v>80</v>
      </c>
      <c r="BL187" s="6" t="s">
        <v>74</v>
      </c>
      <c r="BM187" s="6" t="s">
        <v>81</v>
      </c>
      <c r="BN187" s="6" t="s">
        <v>75</v>
      </c>
    </row>
    <row r="188" spans="1:66">
      <c r="A188" s="1" t="s">
        <v>298</v>
      </c>
      <c r="B188" s="1">
        <v>2017</v>
      </c>
      <c r="C188" s="1" t="s">
        <v>132</v>
      </c>
      <c r="D188" s="1">
        <v>21004781</v>
      </c>
      <c r="E188" s="1">
        <v>13113454</v>
      </c>
      <c r="F188" s="1">
        <v>17778997</v>
      </c>
      <c r="G188" s="1">
        <v>3945253</v>
      </c>
      <c r="H188" s="2">
        <f t="shared" si="30"/>
        <v>21724250</v>
      </c>
      <c r="I188" s="2">
        <f>H188+E188</f>
        <v>34837704</v>
      </c>
      <c r="J188" s="1">
        <v>39055012</v>
      </c>
      <c r="K188" s="2">
        <f t="shared" si="31"/>
        <v>55842485</v>
      </c>
      <c r="L188" s="1">
        <v>94897497</v>
      </c>
      <c r="M188" s="1">
        <v>15833947</v>
      </c>
      <c r="N188" s="1">
        <v>8183830</v>
      </c>
      <c r="O188" s="4">
        <f t="shared" si="32"/>
        <v>24017777</v>
      </c>
      <c r="P188" s="1">
        <v>6906583</v>
      </c>
      <c r="Q188" s="4">
        <f t="shared" si="33"/>
        <v>30924360</v>
      </c>
      <c r="R188" s="1">
        <v>12475138</v>
      </c>
      <c r="S188" s="1">
        <v>11466541</v>
      </c>
      <c r="T188" s="4">
        <f t="shared" si="34"/>
        <v>23941679</v>
      </c>
      <c r="U188" s="1">
        <v>54866039</v>
      </c>
      <c r="V188" s="1">
        <v>2017</v>
      </c>
      <c r="W188" s="8">
        <v>5091333</v>
      </c>
      <c r="X188" s="1">
        <v>0.81299999999999994</v>
      </c>
      <c r="Y188" s="1">
        <v>1</v>
      </c>
      <c r="Z188" s="1">
        <v>0</v>
      </c>
      <c r="AA188" s="1">
        <v>167000000</v>
      </c>
      <c r="AB188" s="1">
        <v>0.12577713173652694</v>
      </c>
      <c r="AC188" s="1">
        <v>7.8523676646706592E-2</v>
      </c>
      <c r="AD188" s="1">
        <v>0.10646105988023952</v>
      </c>
      <c r="AE188" s="1">
        <v>2.3624269461077846E-2</v>
      </c>
      <c r="AF188" s="2">
        <f t="shared" si="35"/>
        <v>0.13008532934131736</v>
      </c>
      <c r="AG188" s="2">
        <f>AF188+AC188</f>
        <v>0.20860900598802395</v>
      </c>
      <c r="AH188" s="1">
        <v>0.23386234730538921</v>
      </c>
      <c r="AI188" s="2">
        <f t="shared" si="36"/>
        <v>0.33438613772455095</v>
      </c>
      <c r="AJ188" s="1">
        <v>9.4814053892215575E-2</v>
      </c>
      <c r="AK188" s="1">
        <v>4.9004970059880242E-2</v>
      </c>
      <c r="AL188" s="4">
        <f t="shared" si="37"/>
        <v>0.14381902395209581</v>
      </c>
      <c r="AM188" s="1">
        <v>4.1356784431137723E-2</v>
      </c>
      <c r="AN188" s="4">
        <f t="shared" si="38"/>
        <v>0.18517580838323353</v>
      </c>
      <c r="AO188" s="1">
        <v>7.4701425149700601E-2</v>
      </c>
      <c r="AP188" s="1">
        <v>6.8661922155688629E-2</v>
      </c>
      <c r="AQ188" s="4">
        <f t="shared" si="39"/>
        <v>0.14336334730538924</v>
      </c>
      <c r="AR188" s="1">
        <v>0.32853915568862274</v>
      </c>
      <c r="AS188" s="1">
        <v>0.56824848502994008</v>
      </c>
      <c r="AT188" s="1">
        <v>0.10321235928143713</v>
      </c>
      <c r="AU188" s="1">
        <f t="shared" si="40"/>
        <v>3.0487023952095807E-2</v>
      </c>
      <c r="AV188" s="1">
        <v>13</v>
      </c>
      <c r="AW188">
        <v>406</v>
      </c>
      <c r="AX188">
        <v>308</v>
      </c>
      <c r="AY188" s="6">
        <v>8</v>
      </c>
      <c r="AZ188" s="6">
        <v>7</v>
      </c>
      <c r="BA188" s="11">
        <f t="shared" si="41"/>
        <v>25.375</v>
      </c>
      <c r="BB188">
        <f t="shared" si="42"/>
        <v>19.25</v>
      </c>
      <c r="BC188">
        <f t="shared" si="43"/>
        <v>98</v>
      </c>
      <c r="BD188">
        <f t="shared" si="44"/>
        <v>6.125</v>
      </c>
      <c r="BE188" s="10">
        <v>10.908740175518</v>
      </c>
      <c r="BF188" s="6">
        <v>26.06897</v>
      </c>
      <c r="BG188" s="6">
        <v>28.087399999999999</v>
      </c>
      <c r="BH188" s="6">
        <v>0.61568199999999995</v>
      </c>
      <c r="BI188" s="6">
        <v>0.64406799999999997</v>
      </c>
      <c r="BJ188" s="6"/>
      <c r="BK188" s="6" t="s">
        <v>80</v>
      </c>
      <c r="BL188" s="6" t="s">
        <v>68</v>
      </c>
      <c r="BM188" s="6" t="s">
        <v>92</v>
      </c>
      <c r="BN188" s="6" t="s">
        <v>70</v>
      </c>
    </row>
    <row r="189" spans="1:66">
      <c r="A189" s="1" t="s">
        <v>299</v>
      </c>
      <c r="B189" s="1">
        <v>2017</v>
      </c>
      <c r="C189" s="1" t="s">
        <v>134</v>
      </c>
      <c r="D189" s="1">
        <v>1280189</v>
      </c>
      <c r="E189" s="1">
        <v>2825514</v>
      </c>
      <c r="F189" s="1">
        <v>13826473</v>
      </c>
      <c r="G189" s="1">
        <v>3831656</v>
      </c>
      <c r="H189" s="2">
        <f t="shared" si="30"/>
        <v>17658129</v>
      </c>
      <c r="I189" s="2">
        <f>H189+E189</f>
        <v>20483643</v>
      </c>
      <c r="J189" s="1">
        <v>25604947</v>
      </c>
      <c r="K189" s="2">
        <f t="shared" si="31"/>
        <v>21763832</v>
      </c>
      <c r="L189" s="1">
        <v>47368779</v>
      </c>
      <c r="M189" s="1">
        <v>8811687</v>
      </c>
      <c r="N189" s="1">
        <v>17957489</v>
      </c>
      <c r="O189" s="4">
        <f t="shared" si="32"/>
        <v>26769176</v>
      </c>
      <c r="P189" s="1">
        <v>8945957</v>
      </c>
      <c r="Q189" s="4">
        <f t="shared" si="33"/>
        <v>35715133</v>
      </c>
      <c r="R189" s="1">
        <v>9535769</v>
      </c>
      <c r="S189" s="1">
        <v>6441770</v>
      </c>
      <c r="T189" s="4">
        <f t="shared" si="34"/>
        <v>15977539</v>
      </c>
      <c r="U189" s="1">
        <v>51692672</v>
      </c>
      <c r="V189" s="1">
        <v>2017</v>
      </c>
      <c r="W189" s="8">
        <v>27342599</v>
      </c>
      <c r="X189" s="1">
        <v>0.375</v>
      </c>
      <c r="Y189" s="1">
        <v>0</v>
      </c>
      <c r="Z189" s="1">
        <v>0</v>
      </c>
      <c r="AA189" s="1">
        <v>167000000</v>
      </c>
      <c r="AB189" s="1">
        <v>7.6658023952095805E-3</v>
      </c>
      <c r="AC189" s="1">
        <v>1.6919245508982036E-2</v>
      </c>
      <c r="AD189" s="1">
        <v>8.279325149700599E-2</v>
      </c>
      <c r="AE189" s="1">
        <v>2.2944047904191616E-2</v>
      </c>
      <c r="AF189" s="2">
        <f t="shared" si="35"/>
        <v>0.10573729940119761</v>
      </c>
      <c r="AG189" s="2">
        <f>AF189+AC189</f>
        <v>0.12265654491017965</v>
      </c>
      <c r="AH189" s="1">
        <v>0.15332303592814372</v>
      </c>
      <c r="AI189" s="2">
        <f t="shared" si="36"/>
        <v>0.13032234730538922</v>
      </c>
      <c r="AJ189" s="1">
        <v>5.2764592814371257E-2</v>
      </c>
      <c r="AK189" s="1">
        <v>0.107529874251497</v>
      </c>
      <c r="AL189" s="4">
        <f t="shared" si="37"/>
        <v>0.16029446706586825</v>
      </c>
      <c r="AM189" s="1">
        <v>5.356860479041916E-2</v>
      </c>
      <c r="AN189" s="4">
        <f t="shared" si="38"/>
        <v>0.21386307185628742</v>
      </c>
      <c r="AO189" s="1">
        <v>5.7100413173652692E-2</v>
      </c>
      <c r="AP189" s="1">
        <v>3.8573473053892214E-2</v>
      </c>
      <c r="AQ189" s="4">
        <f t="shared" si="39"/>
        <v>9.5673886227544913E-2</v>
      </c>
      <c r="AR189" s="1">
        <v>0.30953695808383236</v>
      </c>
      <c r="AS189" s="1">
        <v>0.28364538323353294</v>
      </c>
      <c r="AT189" s="1">
        <v>0.40681765868263464</v>
      </c>
      <c r="AU189" s="1">
        <f t="shared" si="40"/>
        <v>0.16372813772455089</v>
      </c>
      <c r="AV189" s="1">
        <v>6</v>
      </c>
      <c r="AW189">
        <v>331</v>
      </c>
      <c r="AX189">
        <v>383</v>
      </c>
      <c r="AY189" s="6">
        <v>20</v>
      </c>
      <c r="AZ189" s="6">
        <v>25</v>
      </c>
      <c r="BA189" s="11">
        <f t="shared" si="41"/>
        <v>20.6875</v>
      </c>
      <c r="BB189">
        <f t="shared" si="42"/>
        <v>23.9375</v>
      </c>
      <c r="BC189">
        <f t="shared" si="43"/>
        <v>-52</v>
      </c>
      <c r="BD189">
        <f t="shared" si="44"/>
        <v>-3.25</v>
      </c>
      <c r="BE189" s="10">
        <v>6.5522501109451703</v>
      </c>
      <c r="BF189" s="6">
        <v>25.808219999999999</v>
      </c>
      <c r="BG189" s="6">
        <v>27.42334</v>
      </c>
      <c r="BH189" s="6">
        <v>0.54448700000000005</v>
      </c>
      <c r="BI189" s="6">
        <v>0.30137000000000003</v>
      </c>
      <c r="BJ189" s="6"/>
      <c r="BK189" s="6" t="s">
        <v>73</v>
      </c>
      <c r="BL189" s="6" t="s">
        <v>74</v>
      </c>
      <c r="BM189" s="6" t="s">
        <v>75</v>
      </c>
      <c r="BN189" s="6" t="s">
        <v>75</v>
      </c>
    </row>
    <row r="190" spans="1:66">
      <c r="A190" s="1" t="s">
        <v>300</v>
      </c>
      <c r="B190" s="1">
        <v>2017</v>
      </c>
      <c r="C190" s="1" t="s">
        <v>136</v>
      </c>
      <c r="D190" s="1">
        <v>15443870</v>
      </c>
      <c r="E190" s="1">
        <v>5565665</v>
      </c>
      <c r="F190" s="1">
        <v>8724467</v>
      </c>
      <c r="G190" s="1">
        <v>12553573</v>
      </c>
      <c r="H190" s="2">
        <f t="shared" si="30"/>
        <v>21278040</v>
      </c>
      <c r="I190" s="2">
        <f>H190+E190</f>
        <v>26843705</v>
      </c>
      <c r="J190" s="1">
        <v>21118436</v>
      </c>
      <c r="K190" s="2">
        <f t="shared" si="31"/>
        <v>42287575</v>
      </c>
      <c r="L190" s="1">
        <v>63406011</v>
      </c>
      <c r="M190" s="1">
        <v>9895825</v>
      </c>
      <c r="N190" s="1">
        <v>19887433</v>
      </c>
      <c r="O190" s="4">
        <f t="shared" si="32"/>
        <v>29783258</v>
      </c>
      <c r="P190" s="1">
        <v>18261753</v>
      </c>
      <c r="Q190" s="4">
        <f t="shared" si="33"/>
        <v>48045011</v>
      </c>
      <c r="R190" s="1">
        <v>20890487</v>
      </c>
      <c r="S190" s="1">
        <v>23142234</v>
      </c>
      <c r="T190" s="4">
        <f t="shared" si="34"/>
        <v>44032721</v>
      </c>
      <c r="U190" s="1">
        <v>92077732</v>
      </c>
      <c r="V190" s="1">
        <v>2017</v>
      </c>
      <c r="W190" s="8">
        <v>33335648</v>
      </c>
      <c r="X190" s="1">
        <v>0.56299999999999994</v>
      </c>
      <c r="Y190" s="1">
        <v>0</v>
      </c>
      <c r="Z190" s="1">
        <v>0</v>
      </c>
      <c r="AA190" s="1">
        <v>167000000</v>
      </c>
      <c r="AB190" s="1">
        <v>9.2478263473053893E-2</v>
      </c>
      <c r="AC190" s="1">
        <v>3.3327335329341318E-2</v>
      </c>
      <c r="AD190" s="1">
        <v>5.2242317365269464E-2</v>
      </c>
      <c r="AE190" s="1">
        <v>7.5171095808383229E-2</v>
      </c>
      <c r="AF190" s="2">
        <f t="shared" si="35"/>
        <v>0.12741341317365268</v>
      </c>
      <c r="AG190" s="2">
        <f>AF190+AC190</f>
        <v>0.160740748502994</v>
      </c>
      <c r="AH190" s="1">
        <v>0.1264577005988024</v>
      </c>
      <c r="AI190" s="2">
        <f t="shared" si="36"/>
        <v>0.2532190119760479</v>
      </c>
      <c r="AJ190" s="1">
        <v>5.9256437125748504E-2</v>
      </c>
      <c r="AK190" s="1">
        <v>0.11908642514970059</v>
      </c>
      <c r="AL190" s="4">
        <f t="shared" si="37"/>
        <v>0.1783428622754491</v>
      </c>
      <c r="AM190" s="1">
        <v>0.10935181437125749</v>
      </c>
      <c r="AN190" s="4">
        <f t="shared" si="38"/>
        <v>0.28769467664670656</v>
      </c>
      <c r="AO190" s="1">
        <v>0.12509273652694611</v>
      </c>
      <c r="AP190" s="1">
        <v>0.13857625149700598</v>
      </c>
      <c r="AQ190" s="4">
        <f t="shared" si="39"/>
        <v>0.26366898802395211</v>
      </c>
      <c r="AR190" s="1">
        <v>0.55136366467065867</v>
      </c>
      <c r="AS190" s="1">
        <v>0.37967671257485031</v>
      </c>
      <c r="AT190" s="1">
        <v>6.8959622754491079E-2</v>
      </c>
      <c r="AU190" s="1">
        <f t="shared" si="40"/>
        <v>0.19961465868263473</v>
      </c>
      <c r="AV190" s="1">
        <v>9</v>
      </c>
      <c r="AW190">
        <v>366</v>
      </c>
      <c r="AX190">
        <v>332</v>
      </c>
      <c r="AY190" s="6">
        <v>11</v>
      </c>
      <c r="AZ190" s="6">
        <v>13</v>
      </c>
      <c r="BA190" s="11">
        <f t="shared" si="41"/>
        <v>22.875</v>
      </c>
      <c r="BB190">
        <f t="shared" si="42"/>
        <v>20.75</v>
      </c>
      <c r="BC190">
        <f t="shared" si="43"/>
        <v>34</v>
      </c>
      <c r="BD190">
        <f t="shared" si="44"/>
        <v>2.125</v>
      </c>
      <c r="BE190" s="10">
        <v>9.0499710813002796</v>
      </c>
      <c r="BF190" s="6">
        <v>25.913039999999999</v>
      </c>
      <c r="BG190" s="6">
        <v>28.13166</v>
      </c>
      <c r="BH190" s="6">
        <v>0.643127</v>
      </c>
      <c r="BI190" s="6">
        <v>0.49275400000000003</v>
      </c>
      <c r="BJ190" s="6"/>
      <c r="BK190" s="6" t="s">
        <v>80</v>
      </c>
      <c r="BL190" s="6" t="s">
        <v>96</v>
      </c>
      <c r="BM190" s="6" t="s">
        <v>164</v>
      </c>
      <c r="BN190" s="6" t="s">
        <v>70</v>
      </c>
    </row>
    <row r="191" spans="1:66">
      <c r="A191" s="1" t="s">
        <v>301</v>
      </c>
      <c r="B191" s="1">
        <v>2017</v>
      </c>
      <c r="C191" s="1" t="s">
        <v>138</v>
      </c>
      <c r="D191" s="1">
        <v>11738985</v>
      </c>
      <c r="E191" s="1">
        <v>8969129</v>
      </c>
      <c r="F191" s="1">
        <v>18804531</v>
      </c>
      <c r="G191" s="1">
        <v>3178912</v>
      </c>
      <c r="H191" s="2">
        <f t="shared" si="30"/>
        <v>21983443</v>
      </c>
      <c r="I191" s="2">
        <f>H191+E191</f>
        <v>30952572</v>
      </c>
      <c r="J191" s="1">
        <v>23495847</v>
      </c>
      <c r="K191" s="2">
        <f t="shared" si="31"/>
        <v>42691557</v>
      </c>
      <c r="L191" s="1">
        <v>66187404</v>
      </c>
      <c r="M191" s="1">
        <v>30220786</v>
      </c>
      <c r="N191" s="1">
        <v>9762983</v>
      </c>
      <c r="O191" s="4">
        <f t="shared" si="32"/>
        <v>39983769</v>
      </c>
      <c r="P191" s="1">
        <v>8819460</v>
      </c>
      <c r="Q191" s="4">
        <f t="shared" si="33"/>
        <v>48803229</v>
      </c>
      <c r="R191" s="1">
        <v>8500031</v>
      </c>
      <c r="S191" s="1">
        <v>17764740</v>
      </c>
      <c r="T191" s="4">
        <f t="shared" si="34"/>
        <v>26264771</v>
      </c>
      <c r="U191" s="1">
        <v>75068000</v>
      </c>
      <c r="V191" s="1">
        <v>2017</v>
      </c>
      <c r="W191" s="8">
        <v>21360939</v>
      </c>
      <c r="X191" s="1">
        <v>0.313</v>
      </c>
      <c r="Y191" s="1">
        <v>0</v>
      </c>
      <c r="Z191" s="1">
        <v>0</v>
      </c>
      <c r="AA191" s="1">
        <v>167000000</v>
      </c>
      <c r="AB191" s="1">
        <v>7.0293323353293413E-2</v>
      </c>
      <c r="AC191" s="1">
        <v>5.3707359281437127E-2</v>
      </c>
      <c r="AD191" s="1">
        <v>0.11260198203592814</v>
      </c>
      <c r="AE191" s="1">
        <v>1.9035401197604791E-2</v>
      </c>
      <c r="AF191" s="2">
        <f t="shared" si="35"/>
        <v>0.13163738323353294</v>
      </c>
      <c r="AG191" s="2">
        <f>AF191+AC191</f>
        <v>0.18534474251497007</v>
      </c>
      <c r="AH191" s="1">
        <v>0.14069369461077844</v>
      </c>
      <c r="AI191" s="2">
        <f t="shared" si="36"/>
        <v>0.25563806586826349</v>
      </c>
      <c r="AJ191" s="1">
        <v>0.18096279041916169</v>
      </c>
      <c r="AK191" s="1">
        <v>5.8460976047904192E-2</v>
      </c>
      <c r="AL191" s="4">
        <f t="shared" si="37"/>
        <v>0.23942376646706587</v>
      </c>
      <c r="AM191" s="1">
        <v>5.2811137724550899E-2</v>
      </c>
      <c r="AN191" s="4">
        <f t="shared" si="38"/>
        <v>0.2922349041916168</v>
      </c>
      <c r="AO191" s="1">
        <v>5.0898389221556886E-2</v>
      </c>
      <c r="AP191" s="1">
        <v>0.1063756886227545</v>
      </c>
      <c r="AQ191" s="4">
        <f t="shared" si="39"/>
        <v>0.15727407784431138</v>
      </c>
      <c r="AR191" s="1">
        <v>0.44950898203592815</v>
      </c>
      <c r="AS191" s="1">
        <v>0.39633176047904189</v>
      </c>
      <c r="AT191" s="1">
        <v>0.1541592574850299</v>
      </c>
      <c r="AU191" s="1">
        <f t="shared" si="40"/>
        <v>0.12790981437125748</v>
      </c>
      <c r="AV191" s="1">
        <v>5</v>
      </c>
      <c r="AW191">
        <v>335</v>
      </c>
      <c r="AX191">
        <v>382</v>
      </c>
      <c r="AY191" s="6">
        <v>18</v>
      </c>
      <c r="AZ191" s="6">
        <v>22</v>
      </c>
      <c r="BA191" s="11">
        <f t="shared" si="41"/>
        <v>20.9375</v>
      </c>
      <c r="BB191">
        <f t="shared" si="42"/>
        <v>23.875</v>
      </c>
      <c r="BC191">
        <f t="shared" si="43"/>
        <v>-47</v>
      </c>
      <c r="BD191">
        <f t="shared" si="44"/>
        <v>-2.9375</v>
      </c>
      <c r="BE191" s="10">
        <v>6.6974664464309299</v>
      </c>
      <c r="BF191" s="6">
        <v>26.32836</v>
      </c>
      <c r="BG191" s="6">
        <v>28.318460000000002</v>
      </c>
      <c r="BH191" s="6">
        <v>0.60235099999999997</v>
      </c>
      <c r="BI191" s="6">
        <v>0.61194000000000004</v>
      </c>
      <c r="BJ191" s="6"/>
      <c r="BK191" s="6" t="s">
        <v>80</v>
      </c>
      <c r="BL191" s="6" t="s">
        <v>68</v>
      </c>
      <c r="BM191" s="6" t="s">
        <v>92</v>
      </c>
      <c r="BN191" s="6" t="s">
        <v>70</v>
      </c>
    </row>
    <row r="192" spans="1:66">
      <c r="A192" s="1" t="s">
        <v>302</v>
      </c>
      <c r="B192" s="1">
        <v>2017</v>
      </c>
      <c r="C192" s="1" t="s">
        <v>140</v>
      </c>
      <c r="D192" s="1">
        <v>10351646</v>
      </c>
      <c r="E192" s="1">
        <v>8746428</v>
      </c>
      <c r="F192" s="1">
        <v>19514493</v>
      </c>
      <c r="G192" s="1">
        <v>7486458</v>
      </c>
      <c r="H192" s="2">
        <f t="shared" si="30"/>
        <v>27000951</v>
      </c>
      <c r="I192" s="2">
        <f>H192+E192</f>
        <v>35747379</v>
      </c>
      <c r="J192" s="1">
        <v>17127063</v>
      </c>
      <c r="K192" s="2">
        <f t="shared" si="31"/>
        <v>46099025</v>
      </c>
      <c r="L192" s="1">
        <v>63226088</v>
      </c>
      <c r="M192" s="1">
        <v>20991161</v>
      </c>
      <c r="N192" s="1">
        <v>23008834</v>
      </c>
      <c r="O192" s="4">
        <f t="shared" si="32"/>
        <v>43999995</v>
      </c>
      <c r="P192" s="1">
        <v>9206570</v>
      </c>
      <c r="Q192" s="4">
        <f t="shared" si="33"/>
        <v>53206565</v>
      </c>
      <c r="R192" s="1">
        <v>13657831</v>
      </c>
      <c r="S192" s="1">
        <v>15276846</v>
      </c>
      <c r="T192" s="4">
        <f t="shared" si="34"/>
        <v>28934677</v>
      </c>
      <c r="U192" s="1">
        <v>82141242</v>
      </c>
      <c r="V192" s="1">
        <v>2017</v>
      </c>
      <c r="W192" s="8">
        <v>4073982</v>
      </c>
      <c r="X192" s="1">
        <v>0.56299999999999994</v>
      </c>
      <c r="Y192" s="1">
        <v>1</v>
      </c>
      <c r="Z192" s="1">
        <v>0</v>
      </c>
      <c r="AA192" s="1">
        <v>167000000</v>
      </c>
      <c r="AB192" s="1">
        <v>6.1985904191616766E-2</v>
      </c>
      <c r="AC192" s="1">
        <v>5.2373820359281439E-2</v>
      </c>
      <c r="AD192" s="1">
        <v>0.11685325149700598</v>
      </c>
      <c r="AE192" s="1">
        <v>4.4829089820359283E-2</v>
      </c>
      <c r="AF192" s="2">
        <f t="shared" si="35"/>
        <v>0.16168234131736525</v>
      </c>
      <c r="AG192" s="2">
        <f>AF192+AC192</f>
        <v>0.21405616167664671</v>
      </c>
      <c r="AH192" s="1">
        <v>0.1025572634730539</v>
      </c>
      <c r="AI192" s="2">
        <f t="shared" si="36"/>
        <v>0.27604206586826346</v>
      </c>
      <c r="AJ192" s="1">
        <v>0.12569557485029939</v>
      </c>
      <c r="AK192" s="1">
        <v>0.1377774491017964</v>
      </c>
      <c r="AL192" s="4">
        <f t="shared" si="37"/>
        <v>0.26347302395209582</v>
      </c>
      <c r="AM192" s="1">
        <v>5.5129161676646707E-2</v>
      </c>
      <c r="AN192" s="4">
        <f t="shared" si="38"/>
        <v>0.31860218562874254</v>
      </c>
      <c r="AO192" s="1">
        <v>8.178341916167664E-2</v>
      </c>
      <c r="AP192" s="1">
        <v>9.1478119760479037E-2</v>
      </c>
      <c r="AQ192" s="4">
        <f t="shared" si="39"/>
        <v>0.17326153892215568</v>
      </c>
      <c r="AR192" s="1">
        <v>0.49186372455089822</v>
      </c>
      <c r="AS192" s="1">
        <v>0.37859932934131735</v>
      </c>
      <c r="AT192" s="1">
        <v>0.12953694610778443</v>
      </c>
      <c r="AU192" s="1">
        <f t="shared" si="40"/>
        <v>2.4395101796407186E-2</v>
      </c>
      <c r="AV192" s="1">
        <v>9</v>
      </c>
      <c r="AW192">
        <v>334</v>
      </c>
      <c r="AX192">
        <v>356</v>
      </c>
      <c r="AY192" s="6">
        <v>19</v>
      </c>
      <c r="AZ192" s="6">
        <v>17</v>
      </c>
      <c r="BA192" s="11">
        <f t="shared" si="41"/>
        <v>20.875</v>
      </c>
      <c r="BB192">
        <f t="shared" si="42"/>
        <v>22.25</v>
      </c>
      <c r="BC192">
        <f t="shared" si="43"/>
        <v>-22</v>
      </c>
      <c r="BD192">
        <f t="shared" si="44"/>
        <v>-1.375</v>
      </c>
      <c r="BE192" s="10">
        <v>7.4235481238597396</v>
      </c>
      <c r="BF192" s="6">
        <v>26.932200000000002</v>
      </c>
      <c r="BG192" s="6">
        <v>28.089559999999999</v>
      </c>
      <c r="BH192" s="6">
        <v>0.50767600000000002</v>
      </c>
      <c r="BI192" s="6">
        <v>0.62711899999999998</v>
      </c>
      <c r="BJ192" s="6"/>
      <c r="BK192" s="6" t="s">
        <v>80</v>
      </c>
      <c r="BL192" s="6" t="s">
        <v>74</v>
      </c>
      <c r="BM192" s="6" t="s">
        <v>81</v>
      </c>
      <c r="BN192" s="6" t="s">
        <v>75</v>
      </c>
    </row>
    <row r="193" spans="1:80">
      <c r="A193" s="1" t="s">
        <v>303</v>
      </c>
      <c r="B193" s="1">
        <v>2017</v>
      </c>
      <c r="C193" s="1" t="s">
        <v>142</v>
      </c>
      <c r="D193" s="1">
        <v>27543600</v>
      </c>
      <c r="E193" s="1">
        <v>4474359</v>
      </c>
      <c r="F193" s="1">
        <v>10894949</v>
      </c>
      <c r="G193" s="1">
        <v>11840649</v>
      </c>
      <c r="H193" s="2">
        <f t="shared" si="30"/>
        <v>22735598</v>
      </c>
      <c r="I193" s="2">
        <f>H193+E193</f>
        <v>27209957</v>
      </c>
      <c r="J193" s="1">
        <v>34757110</v>
      </c>
      <c r="K193" s="2">
        <f t="shared" si="31"/>
        <v>54753557</v>
      </c>
      <c r="L193" s="1">
        <v>89510667</v>
      </c>
      <c r="M193" s="1">
        <v>12451986</v>
      </c>
      <c r="N193" s="1">
        <v>17002208</v>
      </c>
      <c r="O193" s="4">
        <f t="shared" si="32"/>
        <v>29454194</v>
      </c>
      <c r="P193" s="1">
        <v>8198492</v>
      </c>
      <c r="Q193" s="4">
        <f t="shared" si="33"/>
        <v>37652686</v>
      </c>
      <c r="R193" s="1">
        <v>6606862</v>
      </c>
      <c r="S193" s="1">
        <v>24425407</v>
      </c>
      <c r="T193" s="4">
        <f t="shared" si="34"/>
        <v>31032269</v>
      </c>
      <c r="U193" s="1">
        <v>68684955</v>
      </c>
      <c r="V193" s="1">
        <v>2017</v>
      </c>
      <c r="W193" s="8">
        <v>47357539</v>
      </c>
      <c r="X193" s="1">
        <v>0.438</v>
      </c>
      <c r="Y193" s="1">
        <v>0</v>
      </c>
      <c r="Z193" s="1">
        <v>0</v>
      </c>
      <c r="AA193" s="1">
        <v>167000000</v>
      </c>
      <c r="AB193" s="1">
        <v>0.16493173652694612</v>
      </c>
      <c r="AC193" s="1">
        <v>2.6792568862275448E-2</v>
      </c>
      <c r="AD193" s="1">
        <v>6.523921556886228E-2</v>
      </c>
      <c r="AE193" s="1">
        <v>7.0902089820359282E-2</v>
      </c>
      <c r="AF193" s="2">
        <f t="shared" si="35"/>
        <v>0.13614130538922156</v>
      </c>
      <c r="AG193" s="2">
        <f>AF193+AC193</f>
        <v>0.16293387425149702</v>
      </c>
      <c r="AH193" s="1">
        <v>0.20812640718562875</v>
      </c>
      <c r="AI193" s="2">
        <f t="shared" si="36"/>
        <v>0.32786561077844312</v>
      </c>
      <c r="AJ193" s="1">
        <v>7.4562790419161681E-2</v>
      </c>
      <c r="AK193" s="1">
        <v>0.10180962874251497</v>
      </c>
      <c r="AL193" s="4">
        <f t="shared" si="37"/>
        <v>0.17637241916167665</v>
      </c>
      <c r="AM193" s="1">
        <v>4.9092766467065868E-2</v>
      </c>
      <c r="AN193" s="4">
        <f t="shared" si="38"/>
        <v>0.22546518562874251</v>
      </c>
      <c r="AO193" s="1">
        <v>3.9562047904191613E-2</v>
      </c>
      <c r="AP193" s="1">
        <v>0.14625992215568862</v>
      </c>
      <c r="AQ193" s="4">
        <f t="shared" si="39"/>
        <v>0.18582197005988021</v>
      </c>
      <c r="AR193" s="1">
        <v>0.41128715568862273</v>
      </c>
      <c r="AS193" s="1">
        <v>0.53599201796407181</v>
      </c>
      <c r="AT193" s="1">
        <v>5.2720826347305461E-2</v>
      </c>
      <c r="AU193" s="1">
        <f t="shared" si="40"/>
        <v>0.28357807784431138</v>
      </c>
      <c r="AV193" s="1">
        <v>7</v>
      </c>
      <c r="AW193">
        <v>342</v>
      </c>
      <c r="AX193">
        <v>388</v>
      </c>
      <c r="AY193" s="6">
        <v>16</v>
      </c>
      <c r="AZ193" s="6">
        <v>27</v>
      </c>
      <c r="BA193" s="11">
        <f t="shared" si="41"/>
        <v>21.375</v>
      </c>
      <c r="BB193">
        <f t="shared" si="42"/>
        <v>24.25</v>
      </c>
      <c r="BC193">
        <f t="shared" si="43"/>
        <v>-46</v>
      </c>
      <c r="BD193">
        <f t="shared" si="44"/>
        <v>-2.875</v>
      </c>
      <c r="BE193" s="10">
        <v>6.7265097135280802</v>
      </c>
      <c r="BF193" s="6">
        <v>26.123290000000001</v>
      </c>
      <c r="BG193" s="6">
        <v>28.139140000000001</v>
      </c>
      <c r="BH193" s="6">
        <v>0.67723900000000004</v>
      </c>
      <c r="BI193" s="6">
        <v>0.53424700000000003</v>
      </c>
      <c r="BJ193" s="6"/>
      <c r="BK193" s="6" t="s">
        <v>80</v>
      </c>
      <c r="BL193" s="6" t="s">
        <v>96</v>
      </c>
      <c r="BM193" s="6" t="s">
        <v>164</v>
      </c>
      <c r="BN193" s="6" t="s">
        <v>70</v>
      </c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</row>
    <row r="194" spans="1:80">
      <c r="A194" s="1" t="s">
        <v>304</v>
      </c>
      <c r="B194" s="1">
        <v>2016</v>
      </c>
      <c r="C194" s="1" t="s">
        <v>66</v>
      </c>
      <c r="D194" s="1">
        <v>20967647</v>
      </c>
      <c r="E194" s="1">
        <v>5171763</v>
      </c>
      <c r="F194" s="1">
        <v>19073522</v>
      </c>
      <c r="G194" s="1">
        <v>5942819</v>
      </c>
      <c r="H194" s="2">
        <f t="shared" si="30"/>
        <v>25016341</v>
      </c>
      <c r="I194" s="2">
        <f>H194+E194</f>
        <v>30188104</v>
      </c>
      <c r="J194" s="1">
        <v>19298535</v>
      </c>
      <c r="K194" s="2">
        <f t="shared" si="31"/>
        <v>51155751</v>
      </c>
      <c r="L194" s="1">
        <v>70454286</v>
      </c>
      <c r="M194" s="1">
        <v>23704115</v>
      </c>
      <c r="N194" s="1">
        <v>12115452</v>
      </c>
      <c r="O194" s="4">
        <f t="shared" si="32"/>
        <v>35819567</v>
      </c>
      <c r="P194" s="1">
        <v>6216592</v>
      </c>
      <c r="Q194" s="4">
        <f t="shared" si="33"/>
        <v>42036159</v>
      </c>
      <c r="R194" s="1">
        <v>11210539</v>
      </c>
      <c r="S194" s="1">
        <v>16623998</v>
      </c>
      <c r="T194" s="4">
        <f t="shared" si="34"/>
        <v>27834537</v>
      </c>
      <c r="U194" s="1">
        <v>69870696</v>
      </c>
      <c r="V194" s="1">
        <v>2016</v>
      </c>
      <c r="W194" s="8">
        <v>30760135</v>
      </c>
      <c r="X194" s="1">
        <v>0.46899999999999997</v>
      </c>
      <c r="Y194" s="1">
        <v>0</v>
      </c>
      <c r="Z194" s="1">
        <v>0</v>
      </c>
      <c r="AA194" s="1">
        <v>155270000</v>
      </c>
      <c r="AB194" s="1">
        <v>0.1350399111225607</v>
      </c>
      <c r="AC194" s="1">
        <v>3.3308192181361503E-2</v>
      </c>
      <c r="AD194" s="1">
        <v>0.12284099954917241</v>
      </c>
      <c r="AE194" s="1">
        <v>3.8274096734720167E-2</v>
      </c>
      <c r="AF194" s="2">
        <f t="shared" si="35"/>
        <v>0.16111509628389259</v>
      </c>
      <c r="AG194" s="2">
        <f>AF194+AC194</f>
        <v>0.19442328846525408</v>
      </c>
      <c r="AH194" s="1">
        <v>0.12429017195852386</v>
      </c>
      <c r="AI194" s="2">
        <f t="shared" si="36"/>
        <v>0.32946319958781478</v>
      </c>
      <c r="AJ194" s="1">
        <v>0.15266384362722998</v>
      </c>
      <c r="AK194" s="1">
        <v>7.8028286211116127E-2</v>
      </c>
      <c r="AL194" s="4">
        <f t="shared" si="37"/>
        <v>0.23069212983834611</v>
      </c>
      <c r="AM194" s="1">
        <v>4.0037302762929092E-2</v>
      </c>
      <c r="AN194" s="4">
        <f t="shared" si="38"/>
        <v>0.27072943260127519</v>
      </c>
      <c r="AO194" s="1">
        <v>7.2200289817736851E-2</v>
      </c>
      <c r="AP194" s="1">
        <v>0.10706509950408966</v>
      </c>
      <c r="AQ194" s="4">
        <f t="shared" si="39"/>
        <v>0.17926538932182651</v>
      </c>
      <c r="AR194" s="1">
        <v>0.4499948219231017</v>
      </c>
      <c r="AS194" s="1">
        <v>0.45375337154633866</v>
      </c>
      <c r="AT194" s="1">
        <v>9.6251806530559647E-2</v>
      </c>
      <c r="AU194" s="1">
        <f t="shared" si="40"/>
        <v>0.19810739357248663</v>
      </c>
      <c r="AV194" s="1">
        <v>7</v>
      </c>
      <c r="AW194">
        <v>418</v>
      </c>
      <c r="AX194">
        <v>362</v>
      </c>
      <c r="AY194" s="6">
        <v>6</v>
      </c>
      <c r="AZ194" s="6">
        <v>14</v>
      </c>
      <c r="BA194" s="11">
        <f t="shared" si="41"/>
        <v>26.125</v>
      </c>
      <c r="BB194">
        <f t="shared" si="42"/>
        <v>22.625</v>
      </c>
      <c r="BC194">
        <f t="shared" si="43"/>
        <v>56</v>
      </c>
      <c r="BD194">
        <f t="shared" si="44"/>
        <v>3.5</v>
      </c>
      <c r="BE194" s="10">
        <v>9.6889229574376294</v>
      </c>
      <c r="BF194" s="6">
        <v>26.228570000000001</v>
      </c>
      <c r="BG194" s="6">
        <v>29.28511</v>
      </c>
      <c r="BH194" s="6">
        <v>0.66528799999999999</v>
      </c>
      <c r="BI194" s="6">
        <v>0.57142899999999996</v>
      </c>
      <c r="BJ194" s="6"/>
      <c r="BK194" s="6" t="s">
        <v>67</v>
      </c>
      <c r="BL194" s="6" t="s">
        <v>96</v>
      </c>
      <c r="BM194" s="6" t="s">
        <v>70</v>
      </c>
      <c r="BN194" s="6" t="s">
        <v>70</v>
      </c>
    </row>
    <row r="195" spans="1:80">
      <c r="A195" s="1" t="s">
        <v>305</v>
      </c>
      <c r="B195" s="1">
        <v>2016</v>
      </c>
      <c r="C195" s="1" t="s">
        <v>72</v>
      </c>
      <c r="D195" s="1">
        <v>25631100</v>
      </c>
      <c r="E195" s="1">
        <v>1852741</v>
      </c>
      <c r="F195" s="1">
        <v>21945916</v>
      </c>
      <c r="G195" s="1">
        <v>5486900</v>
      </c>
      <c r="H195" s="2">
        <f t="shared" ref="H195:H258" si="45">SUM(F195:G195)</f>
        <v>27432816</v>
      </c>
      <c r="I195" s="2">
        <f>H195+E195</f>
        <v>29285557</v>
      </c>
      <c r="J195" s="1">
        <v>21046268</v>
      </c>
      <c r="K195" s="2">
        <f t="shared" ref="K195:K258" si="46">SUM(D195:G195)</f>
        <v>54916657</v>
      </c>
      <c r="L195" s="1">
        <v>75962925</v>
      </c>
      <c r="M195" s="1">
        <v>3803031</v>
      </c>
      <c r="N195" s="1">
        <v>20886504</v>
      </c>
      <c r="O195" s="4">
        <f t="shared" ref="O195:O258" si="47">SUM(M195:N195)</f>
        <v>24689535</v>
      </c>
      <c r="P195" s="1">
        <v>10513747</v>
      </c>
      <c r="Q195" s="4">
        <f t="shared" ref="Q195:Q258" si="48">SUM(O195:P195)</f>
        <v>35203282</v>
      </c>
      <c r="R195" s="1">
        <v>4903067</v>
      </c>
      <c r="S195" s="1">
        <v>6580038</v>
      </c>
      <c r="T195" s="4">
        <f t="shared" ref="T195:T258" si="49">SUM(R195:S195)</f>
        <v>11483105</v>
      </c>
      <c r="U195" s="1">
        <v>46686387</v>
      </c>
      <c r="V195" s="1">
        <v>2016</v>
      </c>
      <c r="W195" s="8">
        <v>15158848</v>
      </c>
      <c r="X195" s="1">
        <v>0.68799999999999994</v>
      </c>
      <c r="Y195" s="1">
        <v>1</v>
      </c>
      <c r="Z195" s="1">
        <v>0</v>
      </c>
      <c r="AA195" s="1">
        <v>155270000</v>
      </c>
      <c r="AB195" s="1">
        <v>0.16507438655245701</v>
      </c>
      <c r="AC195" s="1">
        <v>1.1932382301796871E-2</v>
      </c>
      <c r="AD195" s="1">
        <v>0.14134034906936305</v>
      </c>
      <c r="AE195" s="1">
        <v>3.5337798673278804E-2</v>
      </c>
      <c r="AF195" s="2">
        <f t="shared" ref="AF195:AF258" si="50">SUM(AD195:AE195)</f>
        <v>0.17667814774264184</v>
      </c>
      <c r="AG195" s="2">
        <f>AF195+AC195</f>
        <v>0.18861053004443873</v>
      </c>
      <c r="AH195" s="1">
        <v>0.13554626135119469</v>
      </c>
      <c r="AI195" s="2">
        <f t="shared" ref="AI195:AI258" si="51">SUM(AB195:AE195)</f>
        <v>0.35368491659689572</v>
      </c>
      <c r="AJ195" s="1">
        <v>2.4493018612739101E-2</v>
      </c>
      <c r="AK195" s="1">
        <v>0.13451731821987506</v>
      </c>
      <c r="AL195" s="4">
        <f t="shared" ref="AL195:AL258" si="52">SUM(AJ195:AK195)</f>
        <v>0.15901033683261417</v>
      </c>
      <c r="AM195" s="1">
        <v>6.771267469569138E-2</v>
      </c>
      <c r="AN195" s="4">
        <f t="shared" ref="AN195:AN258" si="53">SUM(AL195:AM195)</f>
        <v>0.22672301152830554</v>
      </c>
      <c r="AO195" s="1">
        <v>3.15776840342629E-2</v>
      </c>
      <c r="AP195" s="1">
        <v>4.2378038255941261E-2</v>
      </c>
      <c r="AQ195" s="4">
        <f t="shared" ref="AQ195:AQ258" si="54">SUM(AO195:AP195)</f>
        <v>7.3955722290204168E-2</v>
      </c>
      <c r="AR195" s="1">
        <v>0.30067873381850968</v>
      </c>
      <c r="AS195" s="1">
        <v>0.4892311779480904</v>
      </c>
      <c r="AT195" s="1">
        <v>0.21009008823339992</v>
      </c>
      <c r="AU195" s="1">
        <f t="shared" ref="AU195:AU258" si="55">W195/AA195</f>
        <v>9.7628956012107942E-2</v>
      </c>
      <c r="AV195" s="1">
        <v>11</v>
      </c>
      <c r="AW195">
        <v>540</v>
      </c>
      <c r="AX195">
        <v>406</v>
      </c>
      <c r="AY195" s="6">
        <v>1</v>
      </c>
      <c r="AZ195" s="6">
        <v>27</v>
      </c>
      <c r="BA195" s="11">
        <f t="shared" ref="BA195:BA258" si="56">AW195/16</f>
        <v>33.75</v>
      </c>
      <c r="BB195">
        <f t="shared" ref="BB195:BB258" si="57">AX195/16</f>
        <v>25.375</v>
      </c>
      <c r="BC195">
        <f t="shared" ref="BC195:BC258" si="58">AW195 - AX195</f>
        <v>134</v>
      </c>
      <c r="BD195">
        <f t="shared" ref="BD195:BD258" si="59">BC195/16</f>
        <v>8.375</v>
      </c>
      <c r="BE195" s="10">
        <v>11.954297791015501</v>
      </c>
      <c r="BF195" s="6">
        <v>26.919350000000001</v>
      </c>
      <c r="BG195" s="6">
        <v>28.61731</v>
      </c>
      <c r="BH195" s="6">
        <v>0.59973500000000002</v>
      </c>
      <c r="BI195" s="6">
        <v>0.58064499999999997</v>
      </c>
      <c r="BJ195" s="6"/>
      <c r="BK195" s="6" t="s">
        <v>67</v>
      </c>
      <c r="BL195" s="6" t="s">
        <v>68</v>
      </c>
      <c r="BM195" s="6" t="s">
        <v>69</v>
      </c>
      <c r="BN195" s="6" t="s">
        <v>70</v>
      </c>
    </row>
    <row r="196" spans="1:80">
      <c r="A196" s="1" t="s">
        <v>306</v>
      </c>
      <c r="B196" s="1">
        <v>2016</v>
      </c>
      <c r="C196" s="1" t="s">
        <v>77</v>
      </c>
      <c r="D196" s="1">
        <v>24056900</v>
      </c>
      <c r="E196" s="1">
        <v>2492212</v>
      </c>
      <c r="F196" s="1">
        <v>13619295</v>
      </c>
      <c r="G196" s="1">
        <v>8561035</v>
      </c>
      <c r="H196" s="2">
        <f t="shared" si="45"/>
        <v>22180330</v>
      </c>
      <c r="I196" s="2">
        <f>H196+E196</f>
        <v>24672542</v>
      </c>
      <c r="J196" s="1">
        <v>18007403</v>
      </c>
      <c r="K196" s="2">
        <f t="shared" si="46"/>
        <v>48729442</v>
      </c>
      <c r="L196" s="1">
        <v>66736845</v>
      </c>
      <c r="M196" s="1">
        <v>7240013</v>
      </c>
      <c r="N196" s="1">
        <v>17109523</v>
      </c>
      <c r="O196" s="4">
        <f t="shared" si="47"/>
        <v>24349536</v>
      </c>
      <c r="P196" s="1">
        <v>4802149</v>
      </c>
      <c r="Q196" s="4">
        <f t="shared" si="48"/>
        <v>29151685</v>
      </c>
      <c r="R196" s="1">
        <v>18916487</v>
      </c>
      <c r="S196" s="1">
        <v>13055152</v>
      </c>
      <c r="T196" s="4">
        <f t="shared" si="49"/>
        <v>31971639</v>
      </c>
      <c r="U196" s="1">
        <v>61123324</v>
      </c>
      <c r="V196" s="1">
        <v>2016</v>
      </c>
      <c r="W196" s="8">
        <v>19771337</v>
      </c>
      <c r="X196" s="1">
        <v>0.5</v>
      </c>
      <c r="Y196" s="1">
        <v>0</v>
      </c>
      <c r="Z196" s="1">
        <v>0</v>
      </c>
      <c r="AA196" s="1">
        <v>155270000</v>
      </c>
      <c r="AB196" s="1">
        <v>0.15493591807818638</v>
      </c>
      <c r="AC196" s="1">
        <v>1.6050827590648548E-2</v>
      </c>
      <c r="AD196" s="1">
        <v>8.7713627874025896E-2</v>
      </c>
      <c r="AE196" s="1">
        <v>5.5136439750112697E-2</v>
      </c>
      <c r="AF196" s="2">
        <f t="shared" si="50"/>
        <v>0.1428500676241386</v>
      </c>
      <c r="AG196" s="2">
        <f>AF196+AC196</f>
        <v>0.15890089521478715</v>
      </c>
      <c r="AH196" s="1">
        <v>0.11597477297610614</v>
      </c>
      <c r="AI196" s="2">
        <f t="shared" si="51"/>
        <v>0.31383681329297347</v>
      </c>
      <c r="AJ196" s="1">
        <v>4.6628537386488055E-2</v>
      </c>
      <c r="AK196" s="1">
        <v>0.11019207187479874</v>
      </c>
      <c r="AL196" s="4">
        <f t="shared" si="52"/>
        <v>0.1568206092612868</v>
      </c>
      <c r="AM196" s="1">
        <v>3.0927732337219037E-2</v>
      </c>
      <c r="AN196" s="4">
        <f t="shared" si="53"/>
        <v>0.18774834159850584</v>
      </c>
      <c r="AO196" s="1">
        <v>0.12182963225349391</v>
      </c>
      <c r="AP196" s="1">
        <v>8.4080324595865272E-2</v>
      </c>
      <c r="AQ196" s="4">
        <f t="shared" si="54"/>
        <v>0.2059099568493592</v>
      </c>
      <c r="AR196" s="1">
        <v>0.39365829844786498</v>
      </c>
      <c r="AS196" s="1">
        <v>0.42981158626907967</v>
      </c>
      <c r="AT196" s="1">
        <v>0.1765301152830554</v>
      </c>
      <c r="AU196" s="1">
        <f t="shared" si="55"/>
        <v>0.1273352031944355</v>
      </c>
      <c r="AV196" s="1">
        <v>8</v>
      </c>
      <c r="AW196">
        <v>343</v>
      </c>
      <c r="AX196">
        <v>321</v>
      </c>
      <c r="AY196" s="6">
        <v>21</v>
      </c>
      <c r="AZ196" s="6">
        <v>9</v>
      </c>
      <c r="BA196" s="11">
        <f t="shared" si="56"/>
        <v>21.4375</v>
      </c>
      <c r="BB196">
        <f t="shared" si="57"/>
        <v>20.0625</v>
      </c>
      <c r="BC196">
        <f t="shared" si="58"/>
        <v>22</v>
      </c>
      <c r="BD196">
        <f t="shared" si="59"/>
        <v>1.375</v>
      </c>
      <c r="BE196" s="10">
        <v>8.7014518761344508</v>
      </c>
      <c r="BF196" s="6">
        <v>26.394369999999999</v>
      </c>
      <c r="BG196" s="6">
        <v>29.325890000000001</v>
      </c>
      <c r="BH196" s="6">
        <v>0.59200299999999995</v>
      </c>
      <c r="BI196" s="6">
        <v>0.63380300000000001</v>
      </c>
      <c r="BJ196" s="6"/>
      <c r="BK196" s="6" t="s">
        <v>67</v>
      </c>
      <c r="BL196" s="6" t="s">
        <v>74</v>
      </c>
      <c r="BM196" s="6" t="s">
        <v>102</v>
      </c>
      <c r="BN196" s="6" t="s">
        <v>70</v>
      </c>
    </row>
    <row r="197" spans="1:80">
      <c r="A197" s="1" t="s">
        <v>307</v>
      </c>
      <c r="B197" s="1">
        <v>2016</v>
      </c>
      <c r="C197" s="1" t="s">
        <v>79</v>
      </c>
      <c r="D197" s="1">
        <v>10286322</v>
      </c>
      <c r="E197" s="1">
        <v>10305929</v>
      </c>
      <c r="F197" s="1">
        <v>12971463</v>
      </c>
      <c r="G197" s="1">
        <v>7994746</v>
      </c>
      <c r="H197" s="2">
        <f t="shared" si="45"/>
        <v>20966209</v>
      </c>
      <c r="I197" s="2">
        <f>H197+E197</f>
        <v>31272138</v>
      </c>
      <c r="J197" s="1">
        <v>19315114</v>
      </c>
      <c r="K197" s="2">
        <f t="shared" si="46"/>
        <v>41558460</v>
      </c>
      <c r="L197" s="1">
        <v>60873574</v>
      </c>
      <c r="M197" s="1">
        <v>22682421</v>
      </c>
      <c r="N197" s="1">
        <v>11436205</v>
      </c>
      <c r="O197" s="4">
        <f t="shared" si="47"/>
        <v>34118626</v>
      </c>
      <c r="P197" s="1">
        <v>4326517</v>
      </c>
      <c r="Q197" s="4">
        <f t="shared" si="48"/>
        <v>38445143</v>
      </c>
      <c r="R197" s="1">
        <v>14367753</v>
      </c>
      <c r="S197" s="1">
        <v>15208647</v>
      </c>
      <c r="T197" s="4">
        <f t="shared" si="49"/>
        <v>29576400</v>
      </c>
      <c r="U197" s="1">
        <v>68021543</v>
      </c>
      <c r="V197" s="1">
        <v>2016</v>
      </c>
      <c r="W197" s="8">
        <v>21049137</v>
      </c>
      <c r="X197" s="1">
        <v>0.438</v>
      </c>
      <c r="Y197" s="1">
        <v>0</v>
      </c>
      <c r="Z197" s="1">
        <v>0</v>
      </c>
      <c r="AA197" s="1">
        <v>155270000</v>
      </c>
      <c r="AB197" s="1">
        <v>6.6247968055645007E-2</v>
      </c>
      <c r="AC197" s="1">
        <v>6.6374244863785667E-2</v>
      </c>
      <c r="AD197" s="1">
        <v>8.3541334449668325E-2</v>
      </c>
      <c r="AE197" s="1">
        <v>5.1489315386101631E-2</v>
      </c>
      <c r="AF197" s="2">
        <f t="shared" si="50"/>
        <v>0.13503064983576996</v>
      </c>
      <c r="AG197" s="2">
        <f>AF197+AC197</f>
        <v>0.20140489469955564</v>
      </c>
      <c r="AH197" s="1">
        <v>0.12439694725317189</v>
      </c>
      <c r="AI197" s="2">
        <f t="shared" si="51"/>
        <v>0.26765286275520062</v>
      </c>
      <c r="AJ197" s="1">
        <v>0.14608373156437174</v>
      </c>
      <c r="AK197" s="1">
        <v>7.3653667804469636E-2</v>
      </c>
      <c r="AL197" s="4">
        <f t="shared" si="52"/>
        <v>0.21973739936884137</v>
      </c>
      <c r="AM197" s="1">
        <v>2.7864474785856894E-2</v>
      </c>
      <c r="AN197" s="4">
        <f t="shared" si="53"/>
        <v>0.24760187415469825</v>
      </c>
      <c r="AO197" s="1">
        <v>9.25339924003349E-2</v>
      </c>
      <c r="AP197" s="1">
        <v>9.7949681200489469E-2</v>
      </c>
      <c r="AQ197" s="4">
        <f t="shared" si="54"/>
        <v>0.19048367360082435</v>
      </c>
      <c r="AR197" s="1">
        <v>0.43808554775552266</v>
      </c>
      <c r="AS197" s="1">
        <v>0.39204981000837252</v>
      </c>
      <c r="AT197" s="1">
        <v>0.16986464223610476</v>
      </c>
      <c r="AU197" s="1">
        <f t="shared" si="55"/>
        <v>0.13556473884201714</v>
      </c>
      <c r="AV197" s="1">
        <v>7</v>
      </c>
      <c r="AW197">
        <v>399</v>
      </c>
      <c r="AX197">
        <v>378</v>
      </c>
      <c r="AY197" s="6">
        <v>10</v>
      </c>
      <c r="AZ197" s="6">
        <v>16</v>
      </c>
      <c r="BA197" s="11">
        <f t="shared" si="56"/>
        <v>24.9375</v>
      </c>
      <c r="BB197">
        <f t="shared" si="57"/>
        <v>23.625</v>
      </c>
      <c r="BC197">
        <f t="shared" si="58"/>
        <v>21</v>
      </c>
      <c r="BD197">
        <f t="shared" si="59"/>
        <v>1.3125</v>
      </c>
      <c r="BE197" s="10">
        <v>8.6724086090372996</v>
      </c>
      <c r="BF197" s="6">
        <v>26.492540000000002</v>
      </c>
      <c r="BG197" s="6">
        <v>27.26568</v>
      </c>
      <c r="BH197" s="6">
        <v>0.60263599999999995</v>
      </c>
      <c r="BI197" s="6">
        <v>0.53731300000000004</v>
      </c>
      <c r="BJ197" s="6"/>
      <c r="BK197" s="6" t="s">
        <v>73</v>
      </c>
      <c r="BL197" s="6" t="s">
        <v>68</v>
      </c>
      <c r="BM197" s="6" t="s">
        <v>99</v>
      </c>
      <c r="BN197" s="6" t="s">
        <v>93</v>
      </c>
    </row>
    <row r="198" spans="1:80">
      <c r="A198" s="1" t="s">
        <v>308</v>
      </c>
      <c r="B198" s="1">
        <v>2016</v>
      </c>
      <c r="C198" s="1" t="s">
        <v>83</v>
      </c>
      <c r="D198" s="1">
        <v>21450000</v>
      </c>
      <c r="E198" s="1">
        <v>10958863</v>
      </c>
      <c r="F198" s="1">
        <v>8550593</v>
      </c>
      <c r="G198" s="1">
        <v>8019942</v>
      </c>
      <c r="H198" s="2">
        <f t="shared" si="45"/>
        <v>16570535</v>
      </c>
      <c r="I198" s="2">
        <f>H198+E198</f>
        <v>27529398</v>
      </c>
      <c r="J198" s="1">
        <v>25130242</v>
      </c>
      <c r="K198" s="2">
        <f t="shared" si="46"/>
        <v>48979398</v>
      </c>
      <c r="L198" s="1">
        <v>74109640</v>
      </c>
      <c r="M198" s="1">
        <v>9915073</v>
      </c>
      <c r="N198" s="1">
        <v>5907171</v>
      </c>
      <c r="O198" s="4">
        <f t="shared" si="47"/>
        <v>15822244</v>
      </c>
      <c r="P198" s="1">
        <v>18305233</v>
      </c>
      <c r="Q198" s="4">
        <f t="shared" si="48"/>
        <v>34127477</v>
      </c>
      <c r="R198" s="1">
        <v>5817094</v>
      </c>
      <c r="S198" s="1">
        <v>3505394</v>
      </c>
      <c r="T198" s="4">
        <f t="shared" si="49"/>
        <v>9322488</v>
      </c>
      <c r="U198" s="1">
        <v>43449965</v>
      </c>
      <c r="V198" s="1">
        <v>2016</v>
      </c>
      <c r="W198" s="8">
        <v>27045781</v>
      </c>
      <c r="X198" s="1">
        <v>0.375</v>
      </c>
      <c r="Y198" s="1">
        <v>0</v>
      </c>
      <c r="Z198" s="1">
        <v>0</v>
      </c>
      <c r="AA198" s="1">
        <v>155270000</v>
      </c>
      <c r="AB198" s="1">
        <v>0.13814645456301924</v>
      </c>
      <c r="AC198" s="1">
        <v>7.0579397179107356E-2</v>
      </c>
      <c r="AD198" s="1">
        <v>5.5069189154376245E-2</v>
      </c>
      <c r="AE198" s="1">
        <v>5.1651587557158499E-2</v>
      </c>
      <c r="AF198" s="2">
        <f t="shared" si="50"/>
        <v>0.10672077671153474</v>
      </c>
      <c r="AG198" s="2">
        <f>AF198+AC198</f>
        <v>0.17730017389064209</v>
      </c>
      <c r="AH198" s="1">
        <v>0.16184866361821343</v>
      </c>
      <c r="AI198" s="2">
        <f t="shared" si="51"/>
        <v>0.31544662845366134</v>
      </c>
      <c r="AJ198" s="1">
        <v>6.385697816706383E-2</v>
      </c>
      <c r="AK198" s="1">
        <v>3.8044509563985314E-2</v>
      </c>
      <c r="AL198" s="4">
        <f t="shared" si="52"/>
        <v>0.10190148773104915</v>
      </c>
      <c r="AM198" s="1">
        <v>0.11789291556643267</v>
      </c>
      <c r="AN198" s="4">
        <f t="shared" si="53"/>
        <v>0.21979440329748182</v>
      </c>
      <c r="AO198" s="1">
        <v>3.7464378179944614E-2</v>
      </c>
      <c r="AP198" s="1">
        <v>2.2576119018483932E-2</v>
      </c>
      <c r="AQ198" s="4">
        <f t="shared" si="54"/>
        <v>6.004049719842855E-2</v>
      </c>
      <c r="AR198" s="1">
        <v>0.27983490049591037</v>
      </c>
      <c r="AS198" s="1">
        <v>0.47729529207187482</v>
      </c>
      <c r="AT198" s="1">
        <v>0.24286980743221487</v>
      </c>
      <c r="AU198" s="1">
        <f t="shared" si="55"/>
        <v>0.17418548979197526</v>
      </c>
      <c r="AV198" s="1">
        <v>6</v>
      </c>
      <c r="AW198">
        <v>369</v>
      </c>
      <c r="AX198">
        <v>402</v>
      </c>
      <c r="AY198" s="6">
        <v>15</v>
      </c>
      <c r="AZ198" s="6">
        <v>26</v>
      </c>
      <c r="BA198" s="11">
        <f t="shared" si="56"/>
        <v>23.0625</v>
      </c>
      <c r="BB198">
        <f t="shared" si="57"/>
        <v>25.125</v>
      </c>
      <c r="BC198">
        <f t="shared" si="58"/>
        <v>-33</v>
      </c>
      <c r="BD198">
        <f t="shared" si="59"/>
        <v>-2.0625</v>
      </c>
      <c r="BE198" s="10">
        <v>7.10407218579107</v>
      </c>
      <c r="BF198" s="6">
        <v>26.62687</v>
      </c>
      <c r="BG198" s="6">
        <v>28.434370000000001</v>
      </c>
      <c r="BH198" s="6">
        <v>0.63200599999999996</v>
      </c>
      <c r="BI198" s="6">
        <v>0.62686600000000003</v>
      </c>
      <c r="BJ198" s="6"/>
      <c r="BK198" s="6" t="s">
        <v>67</v>
      </c>
      <c r="BL198" s="6" t="s">
        <v>96</v>
      </c>
      <c r="BM198" s="6" t="s">
        <v>70</v>
      </c>
      <c r="BN198" s="6" t="s">
        <v>70</v>
      </c>
    </row>
    <row r="199" spans="1:80">
      <c r="A199" s="1" t="s">
        <v>309</v>
      </c>
      <c r="B199" s="1">
        <v>2016</v>
      </c>
      <c r="C199" s="1" t="s">
        <v>85</v>
      </c>
      <c r="D199" s="1">
        <v>20140353</v>
      </c>
      <c r="E199" s="1">
        <v>2164522</v>
      </c>
      <c r="F199" s="1">
        <v>23144751</v>
      </c>
      <c r="G199" s="1">
        <v>4465009</v>
      </c>
      <c r="H199" s="2">
        <f t="shared" si="45"/>
        <v>27609760</v>
      </c>
      <c r="I199" s="2">
        <f>H199+E199</f>
        <v>29774282</v>
      </c>
      <c r="J199" s="1">
        <v>25002276</v>
      </c>
      <c r="K199" s="2">
        <f t="shared" si="46"/>
        <v>49914635</v>
      </c>
      <c r="L199" s="1">
        <v>74916911</v>
      </c>
      <c r="M199" s="1">
        <v>10499728</v>
      </c>
      <c r="N199" s="1">
        <v>23295184</v>
      </c>
      <c r="O199" s="4">
        <f t="shared" si="47"/>
        <v>33794912</v>
      </c>
      <c r="P199" s="1">
        <v>11928466</v>
      </c>
      <c r="Q199" s="4">
        <f t="shared" si="48"/>
        <v>45723378</v>
      </c>
      <c r="R199" s="1">
        <v>3785524</v>
      </c>
      <c r="S199" s="1">
        <v>9703965</v>
      </c>
      <c r="T199" s="4">
        <f t="shared" si="49"/>
        <v>13489489</v>
      </c>
      <c r="U199" s="1">
        <v>59212867</v>
      </c>
      <c r="V199" s="1">
        <v>2016</v>
      </c>
      <c r="W199" s="8">
        <v>62054641</v>
      </c>
      <c r="X199" s="1">
        <v>0.188</v>
      </c>
      <c r="Y199" s="1">
        <v>0</v>
      </c>
      <c r="Z199" s="1">
        <v>0</v>
      </c>
      <c r="AA199" s="1">
        <v>155270000</v>
      </c>
      <c r="AB199" s="1">
        <v>0.12971181168287499</v>
      </c>
      <c r="AC199" s="1">
        <v>1.3940374830939654E-2</v>
      </c>
      <c r="AD199" s="1">
        <v>0.14906131899272235</v>
      </c>
      <c r="AE199" s="1">
        <v>2.8756417852772588E-2</v>
      </c>
      <c r="AF199" s="2">
        <f t="shared" si="50"/>
        <v>0.17781773684549493</v>
      </c>
      <c r="AG199" s="2">
        <f>AF199+AC199</f>
        <v>0.19175811167643458</v>
      </c>
      <c r="AH199" s="1">
        <v>0.16102451214014299</v>
      </c>
      <c r="AI199" s="2">
        <f t="shared" si="51"/>
        <v>0.32146992335930957</v>
      </c>
      <c r="AJ199" s="1">
        <v>6.7622386810072779E-2</v>
      </c>
      <c r="AK199" s="1">
        <v>0.15003016680620854</v>
      </c>
      <c r="AL199" s="4">
        <f t="shared" si="52"/>
        <v>0.21765255361628133</v>
      </c>
      <c r="AM199" s="1">
        <v>7.6824022670187411E-2</v>
      </c>
      <c r="AN199" s="4">
        <f t="shared" si="53"/>
        <v>0.29447657628646873</v>
      </c>
      <c r="AO199" s="1">
        <v>2.4380266632317897E-2</v>
      </c>
      <c r="AP199" s="1">
        <v>6.2497359438397633E-2</v>
      </c>
      <c r="AQ199" s="4">
        <f t="shared" si="54"/>
        <v>8.687762607071553E-2</v>
      </c>
      <c r="AR199" s="1">
        <v>0.38135420235718426</v>
      </c>
      <c r="AS199" s="1">
        <v>0.48249443549945259</v>
      </c>
      <c r="AT199" s="1">
        <v>0.13615136214336321</v>
      </c>
      <c r="AU199" s="1">
        <f t="shared" si="55"/>
        <v>0.39965634700843694</v>
      </c>
      <c r="AV199" s="1">
        <v>3</v>
      </c>
      <c r="AW199">
        <v>279</v>
      </c>
      <c r="AX199">
        <v>399</v>
      </c>
      <c r="AY199" s="6">
        <v>28</v>
      </c>
      <c r="AZ199" s="6">
        <v>24</v>
      </c>
      <c r="BA199" s="11">
        <f t="shared" si="56"/>
        <v>17.4375</v>
      </c>
      <c r="BB199">
        <f t="shared" si="57"/>
        <v>24.9375</v>
      </c>
      <c r="BC199">
        <f t="shared" si="58"/>
        <v>-120</v>
      </c>
      <c r="BD199">
        <f t="shared" si="59"/>
        <v>-7.5</v>
      </c>
      <c r="BE199" s="10">
        <v>4.5773079483387997</v>
      </c>
      <c r="BF199" s="6">
        <v>26.02778</v>
      </c>
      <c r="BG199" s="6">
        <v>27.974740000000001</v>
      </c>
      <c r="BH199" s="6">
        <v>0.62739599999999995</v>
      </c>
      <c r="BI199" s="6">
        <v>0.51388900000000004</v>
      </c>
      <c r="BJ199" s="6"/>
      <c r="BK199" s="6" t="s">
        <v>80</v>
      </c>
      <c r="BL199" s="6" t="s">
        <v>96</v>
      </c>
      <c r="BM199" s="6" t="s">
        <v>164</v>
      </c>
      <c r="BN199" s="6" t="s">
        <v>93</v>
      </c>
    </row>
    <row r="200" spans="1:80">
      <c r="A200" s="1" t="s">
        <v>310</v>
      </c>
      <c r="B200" s="1">
        <v>2016</v>
      </c>
      <c r="C200" s="1" t="s">
        <v>87</v>
      </c>
      <c r="D200" s="1">
        <v>14195413</v>
      </c>
      <c r="E200" s="1">
        <v>7582248</v>
      </c>
      <c r="F200" s="1">
        <v>17965568</v>
      </c>
      <c r="G200" s="1">
        <v>4895878</v>
      </c>
      <c r="H200" s="2">
        <f t="shared" si="45"/>
        <v>22861446</v>
      </c>
      <c r="I200" s="2">
        <f>H200+E200</f>
        <v>30443694</v>
      </c>
      <c r="J200" s="1">
        <v>26963355</v>
      </c>
      <c r="K200" s="2">
        <f t="shared" si="46"/>
        <v>44639107</v>
      </c>
      <c r="L200" s="1">
        <v>71602462</v>
      </c>
      <c r="M200" s="1">
        <v>15774614</v>
      </c>
      <c r="N200" s="1">
        <v>15267615</v>
      </c>
      <c r="O200" s="4">
        <f t="shared" si="47"/>
        <v>31042229</v>
      </c>
      <c r="P200" s="1">
        <v>15238247</v>
      </c>
      <c r="Q200" s="4">
        <f t="shared" si="48"/>
        <v>46280476</v>
      </c>
      <c r="R200" s="1">
        <v>10932963</v>
      </c>
      <c r="S200" s="1">
        <v>20040214</v>
      </c>
      <c r="T200" s="4">
        <f t="shared" si="49"/>
        <v>30973177</v>
      </c>
      <c r="U200" s="1">
        <v>77253653</v>
      </c>
      <c r="V200" s="1">
        <v>2016</v>
      </c>
      <c r="W200" s="8">
        <v>31106767</v>
      </c>
      <c r="X200" s="1">
        <v>0.40600000000000003</v>
      </c>
      <c r="Y200" s="1">
        <v>0</v>
      </c>
      <c r="Z200" s="1">
        <v>0</v>
      </c>
      <c r="AA200" s="1">
        <v>155270000</v>
      </c>
      <c r="AB200" s="1">
        <v>9.142405487215817E-2</v>
      </c>
      <c r="AC200" s="1">
        <v>4.8832665679139561E-2</v>
      </c>
      <c r="AD200" s="1">
        <v>0.11570533908675211</v>
      </c>
      <c r="AE200" s="1">
        <v>3.1531384040703291E-2</v>
      </c>
      <c r="AF200" s="2">
        <f t="shared" si="50"/>
        <v>0.14723672312745539</v>
      </c>
      <c r="AG200" s="2">
        <f>AF200+AC200</f>
        <v>0.19606938880659497</v>
      </c>
      <c r="AH200" s="1">
        <v>0.17365463386359245</v>
      </c>
      <c r="AI200" s="2">
        <f t="shared" si="51"/>
        <v>0.28749344367875312</v>
      </c>
      <c r="AJ200" s="1">
        <v>0.10159473175758356</v>
      </c>
      <c r="AK200" s="1">
        <v>9.8329458362851813E-2</v>
      </c>
      <c r="AL200" s="4">
        <f t="shared" si="52"/>
        <v>0.19992419012043539</v>
      </c>
      <c r="AM200" s="1">
        <v>9.8140316867392288E-2</v>
      </c>
      <c r="AN200" s="4">
        <f t="shared" si="53"/>
        <v>0.29806450698782766</v>
      </c>
      <c r="AO200" s="1">
        <v>7.0412590970567401E-2</v>
      </c>
      <c r="AP200" s="1">
        <v>0.12906687705287564</v>
      </c>
      <c r="AQ200" s="4">
        <f t="shared" si="54"/>
        <v>0.19947946802344305</v>
      </c>
      <c r="AR200" s="1">
        <v>0.49754397501127068</v>
      </c>
      <c r="AS200" s="1">
        <v>0.4611480775423456</v>
      </c>
      <c r="AT200" s="1">
        <v>4.1307947446383775E-2</v>
      </c>
      <c r="AU200" s="1">
        <f t="shared" si="55"/>
        <v>0.20033984027822502</v>
      </c>
      <c r="AV200" s="1">
        <v>6</v>
      </c>
      <c r="AW200">
        <v>325</v>
      </c>
      <c r="AX200">
        <v>315</v>
      </c>
      <c r="AY200" s="6">
        <v>24</v>
      </c>
      <c r="AZ200" s="6">
        <v>8</v>
      </c>
      <c r="BA200" s="11">
        <f t="shared" si="56"/>
        <v>20.3125</v>
      </c>
      <c r="BB200">
        <f t="shared" si="57"/>
        <v>19.6875</v>
      </c>
      <c r="BC200">
        <f t="shared" si="58"/>
        <v>10</v>
      </c>
      <c r="BD200">
        <f t="shared" si="59"/>
        <v>0.625</v>
      </c>
      <c r="BE200" s="10">
        <v>8.3529326709686202</v>
      </c>
      <c r="BF200" s="6">
        <v>26.354839999999999</v>
      </c>
      <c r="BG200" s="6">
        <v>28.102219999999999</v>
      </c>
      <c r="BH200" s="6">
        <v>0.59835700000000003</v>
      </c>
      <c r="BI200" s="6">
        <v>0.69354800000000005</v>
      </c>
      <c r="BJ200" s="6"/>
      <c r="BK200" s="6" t="s">
        <v>80</v>
      </c>
      <c r="BL200" s="6" t="s">
        <v>68</v>
      </c>
      <c r="BM200" s="6" t="s">
        <v>92</v>
      </c>
      <c r="BN200" s="6" t="s">
        <v>70</v>
      </c>
    </row>
    <row r="201" spans="1:80">
      <c r="A201" s="1" t="s">
        <v>311</v>
      </c>
      <c r="B201" s="1">
        <v>2016</v>
      </c>
      <c r="C201" s="1" t="s">
        <v>89</v>
      </c>
      <c r="D201" s="1">
        <v>11022385</v>
      </c>
      <c r="E201" s="1">
        <v>2873269</v>
      </c>
      <c r="F201" s="1">
        <v>8060225</v>
      </c>
      <c r="G201" s="1">
        <v>3663632</v>
      </c>
      <c r="H201" s="2">
        <f t="shared" si="45"/>
        <v>11723857</v>
      </c>
      <c r="I201" s="2">
        <f>H201+E201</f>
        <v>14597126</v>
      </c>
      <c r="J201" s="1">
        <v>20849784</v>
      </c>
      <c r="K201" s="2">
        <f t="shared" si="46"/>
        <v>25619511</v>
      </c>
      <c r="L201" s="1">
        <v>46469295</v>
      </c>
      <c r="M201" s="1">
        <v>11120534</v>
      </c>
      <c r="N201" s="1">
        <v>1500998</v>
      </c>
      <c r="O201" s="4">
        <f t="shared" si="47"/>
        <v>12621532</v>
      </c>
      <c r="P201" s="1">
        <v>6626100</v>
      </c>
      <c r="Q201" s="4">
        <f t="shared" si="48"/>
        <v>19247632</v>
      </c>
      <c r="R201" s="1">
        <v>2503713</v>
      </c>
      <c r="S201" s="1">
        <v>23427666</v>
      </c>
      <c r="T201" s="4">
        <f t="shared" si="49"/>
        <v>25931379</v>
      </c>
      <c r="U201" s="1">
        <v>45179011</v>
      </c>
      <c r="V201" s="1">
        <v>2016</v>
      </c>
      <c r="W201" s="8">
        <v>13242314</v>
      </c>
      <c r="X201" s="1">
        <v>6.3E-2</v>
      </c>
      <c r="Y201" s="1">
        <v>0</v>
      </c>
      <c r="Z201" s="1">
        <v>0</v>
      </c>
      <c r="AA201" s="1">
        <v>155270000</v>
      </c>
      <c r="AB201" s="1">
        <v>7.098850389643846E-2</v>
      </c>
      <c r="AC201" s="1">
        <v>1.8504984865073744E-2</v>
      </c>
      <c r="AD201" s="1">
        <v>5.1911025954788435E-2</v>
      </c>
      <c r="AE201" s="1">
        <v>2.359523410832743E-2</v>
      </c>
      <c r="AF201" s="2">
        <f t="shared" si="50"/>
        <v>7.5506260063115865E-2</v>
      </c>
      <c r="AG201" s="2">
        <f>AF201+AC201</f>
        <v>9.4011244928189602E-2</v>
      </c>
      <c r="AH201" s="1">
        <v>0.13428082694660914</v>
      </c>
      <c r="AI201" s="2">
        <f t="shared" si="51"/>
        <v>0.16499974882462806</v>
      </c>
      <c r="AJ201" s="1">
        <v>7.1620622142075097E-2</v>
      </c>
      <c r="AK201" s="1">
        <v>9.667018741546983E-3</v>
      </c>
      <c r="AL201" s="4">
        <f t="shared" si="52"/>
        <v>8.1287640883622087E-2</v>
      </c>
      <c r="AM201" s="1">
        <v>4.2674695691376309E-2</v>
      </c>
      <c r="AN201" s="4">
        <f t="shared" si="53"/>
        <v>0.12396233657499839</v>
      </c>
      <c r="AO201" s="1">
        <v>1.6124898563792105E-2</v>
      </c>
      <c r="AP201" s="1">
        <v>0.15088340310426998</v>
      </c>
      <c r="AQ201" s="4">
        <f t="shared" si="54"/>
        <v>0.16700830166806208</v>
      </c>
      <c r="AR201" s="1">
        <v>0.29097063824306046</v>
      </c>
      <c r="AS201" s="1">
        <v>0.29928057577123718</v>
      </c>
      <c r="AT201" s="1">
        <v>0.4097487859857023</v>
      </c>
      <c r="AU201" s="1">
        <f t="shared" si="55"/>
        <v>8.5285721646164742E-2</v>
      </c>
      <c r="AV201" s="1">
        <v>1</v>
      </c>
      <c r="AW201">
        <v>264</v>
      </c>
      <c r="AX201">
        <v>452</v>
      </c>
      <c r="AY201" s="6">
        <v>31</v>
      </c>
      <c r="AZ201" s="6">
        <v>30</v>
      </c>
      <c r="BA201" s="11">
        <f t="shared" si="56"/>
        <v>16.5</v>
      </c>
      <c r="BB201">
        <f t="shared" si="57"/>
        <v>28.25</v>
      </c>
      <c r="BC201">
        <f t="shared" si="58"/>
        <v>-188</v>
      </c>
      <c r="BD201">
        <f t="shared" si="59"/>
        <v>-11.75</v>
      </c>
      <c r="BE201" s="10">
        <v>2.60236578573243</v>
      </c>
      <c r="BF201" s="6">
        <v>25.014710000000001</v>
      </c>
      <c r="BG201" s="6">
        <v>27.646190000000001</v>
      </c>
      <c r="BH201" s="6">
        <v>0.59493600000000002</v>
      </c>
      <c r="BI201" s="6">
        <v>0.382353</v>
      </c>
      <c r="BJ201" s="6"/>
      <c r="BK201" s="6" t="s">
        <v>73</v>
      </c>
      <c r="BL201" s="6" t="s">
        <v>68</v>
      </c>
      <c r="BM201" s="6" t="s">
        <v>99</v>
      </c>
      <c r="BN201" s="6" t="s">
        <v>93</v>
      </c>
    </row>
    <row r="202" spans="1:80">
      <c r="A202" s="1" t="s">
        <v>312</v>
      </c>
      <c r="B202" s="1">
        <v>2016</v>
      </c>
      <c r="C202" s="1" t="s">
        <v>91</v>
      </c>
      <c r="D202" s="1">
        <v>23926148</v>
      </c>
      <c r="E202" s="1">
        <v>9073966</v>
      </c>
      <c r="F202" s="1">
        <v>19837501</v>
      </c>
      <c r="G202" s="1">
        <v>9867494</v>
      </c>
      <c r="H202" s="2">
        <f t="shared" si="45"/>
        <v>29704995</v>
      </c>
      <c r="I202" s="2">
        <f>H202+E202</f>
        <v>38778961</v>
      </c>
      <c r="J202" s="1">
        <v>21408752</v>
      </c>
      <c r="K202" s="2">
        <f t="shared" si="46"/>
        <v>62705109</v>
      </c>
      <c r="L202" s="1">
        <v>84113861</v>
      </c>
      <c r="M202" s="1">
        <v>4585559</v>
      </c>
      <c r="N202" s="1">
        <v>10409388</v>
      </c>
      <c r="O202" s="4">
        <f t="shared" si="47"/>
        <v>14994947</v>
      </c>
      <c r="P202" s="1">
        <v>15942586</v>
      </c>
      <c r="Q202" s="4">
        <f t="shared" si="48"/>
        <v>30937533</v>
      </c>
      <c r="R202" s="1">
        <v>8367517</v>
      </c>
      <c r="S202" s="1">
        <v>20670361</v>
      </c>
      <c r="T202" s="4">
        <f t="shared" si="49"/>
        <v>29037878</v>
      </c>
      <c r="U202" s="1">
        <v>59975411</v>
      </c>
      <c r="V202" s="1">
        <v>2016</v>
      </c>
      <c r="W202" s="8">
        <v>18609387</v>
      </c>
      <c r="X202" s="1">
        <v>0.81299999999999994</v>
      </c>
      <c r="Y202" s="1">
        <v>1</v>
      </c>
      <c r="Z202" s="1">
        <v>0</v>
      </c>
      <c r="AA202" s="1">
        <v>155270000</v>
      </c>
      <c r="AB202" s="1">
        <v>0.15409382366200811</v>
      </c>
      <c r="AC202" s="1">
        <v>5.843991756295485E-2</v>
      </c>
      <c r="AD202" s="1">
        <v>0.1277613254331165</v>
      </c>
      <c r="AE202" s="1">
        <v>6.3550550653700008E-2</v>
      </c>
      <c r="AF202" s="2">
        <f t="shared" si="50"/>
        <v>0.19131187608681649</v>
      </c>
      <c r="AG202" s="2">
        <f>AF202+AC202</f>
        <v>0.24975179364977135</v>
      </c>
      <c r="AH202" s="1">
        <v>0.13788080118503251</v>
      </c>
      <c r="AI202" s="2">
        <f t="shared" si="51"/>
        <v>0.40384561731177948</v>
      </c>
      <c r="AJ202" s="1">
        <v>2.9532807367810911E-2</v>
      </c>
      <c r="AK202" s="1">
        <v>6.7040561602370069E-2</v>
      </c>
      <c r="AL202" s="4">
        <f t="shared" si="52"/>
        <v>9.6573368970180984E-2</v>
      </c>
      <c r="AM202" s="1">
        <v>0.10267653764410382</v>
      </c>
      <c r="AN202" s="4">
        <f t="shared" si="53"/>
        <v>0.19924990661428482</v>
      </c>
      <c r="AO202" s="1">
        <v>5.3890107554582338E-2</v>
      </c>
      <c r="AP202" s="1">
        <v>0.13312527210665293</v>
      </c>
      <c r="AQ202" s="4">
        <f t="shared" si="54"/>
        <v>0.18701537966123527</v>
      </c>
      <c r="AR202" s="1">
        <v>0.38626528627552004</v>
      </c>
      <c r="AS202" s="1">
        <v>0.54172641849681202</v>
      </c>
      <c r="AT202" s="1">
        <v>7.200829522766794E-2</v>
      </c>
      <c r="AU202" s="1">
        <f t="shared" si="55"/>
        <v>0.11985178720937721</v>
      </c>
      <c r="AV202" s="1">
        <v>13</v>
      </c>
      <c r="AW202">
        <v>421</v>
      </c>
      <c r="AX202">
        <v>306</v>
      </c>
      <c r="AY202" s="6">
        <v>5</v>
      </c>
      <c r="AZ202" s="6">
        <v>5</v>
      </c>
      <c r="BA202" s="11">
        <f t="shared" si="56"/>
        <v>26.3125</v>
      </c>
      <c r="BB202">
        <f t="shared" si="57"/>
        <v>19.125</v>
      </c>
      <c r="BC202">
        <f t="shared" si="58"/>
        <v>115</v>
      </c>
      <c r="BD202">
        <f t="shared" si="59"/>
        <v>7.1875</v>
      </c>
      <c r="BE202" s="10">
        <v>11.402475716169601</v>
      </c>
      <c r="BF202" s="6">
        <v>26.354839999999999</v>
      </c>
      <c r="BG202" s="6">
        <v>28.76699</v>
      </c>
      <c r="BH202" s="6">
        <v>0.56627799999999995</v>
      </c>
      <c r="BI202" s="6">
        <v>0.67741899999999999</v>
      </c>
      <c r="BJ202" s="6"/>
      <c r="BK202" s="6" t="s">
        <v>67</v>
      </c>
      <c r="BL202" s="6" t="s">
        <v>74</v>
      </c>
      <c r="BM202" s="6" t="s">
        <v>102</v>
      </c>
      <c r="BN202" s="6" t="s">
        <v>75</v>
      </c>
    </row>
    <row r="203" spans="1:80">
      <c r="A203" s="1" t="s">
        <v>313</v>
      </c>
      <c r="B203" s="1">
        <v>2016</v>
      </c>
      <c r="C203" s="1" t="s">
        <v>95</v>
      </c>
      <c r="D203" s="1">
        <v>2261161</v>
      </c>
      <c r="E203" s="1">
        <v>7652724</v>
      </c>
      <c r="F203" s="1">
        <v>24631438</v>
      </c>
      <c r="G203" s="1">
        <v>4002548</v>
      </c>
      <c r="H203" s="2">
        <f t="shared" si="45"/>
        <v>28633986</v>
      </c>
      <c r="I203" s="2">
        <f>H203+E203</f>
        <v>36286710</v>
      </c>
      <c r="J203" s="1">
        <v>14289846</v>
      </c>
      <c r="K203" s="2">
        <f t="shared" si="46"/>
        <v>38547871</v>
      </c>
      <c r="L203" s="1">
        <v>52837717</v>
      </c>
      <c r="M203" s="1">
        <v>14874328</v>
      </c>
      <c r="N203" s="1">
        <v>22787306</v>
      </c>
      <c r="O203" s="4">
        <f t="shared" si="47"/>
        <v>37661634</v>
      </c>
      <c r="P203" s="1">
        <v>6341732</v>
      </c>
      <c r="Q203" s="4">
        <f t="shared" si="48"/>
        <v>44003366</v>
      </c>
      <c r="R203" s="1">
        <v>11486444</v>
      </c>
      <c r="S203" s="1">
        <v>22329018</v>
      </c>
      <c r="T203" s="4">
        <f t="shared" si="49"/>
        <v>33815462</v>
      </c>
      <c r="U203" s="1">
        <v>77818828</v>
      </c>
      <c r="V203" s="1">
        <v>2016</v>
      </c>
      <c r="W203" s="8">
        <v>19325789</v>
      </c>
      <c r="X203" s="1">
        <v>0.56299999999999994</v>
      </c>
      <c r="Y203" s="1">
        <v>0</v>
      </c>
      <c r="Z203" s="1">
        <v>0</v>
      </c>
      <c r="AA203" s="1">
        <v>155270000</v>
      </c>
      <c r="AB203" s="1">
        <v>1.4562768081406581E-2</v>
      </c>
      <c r="AC203" s="1">
        <v>4.928655889740452E-2</v>
      </c>
      <c r="AD203" s="1">
        <v>0.15863616925355831</v>
      </c>
      <c r="AE203" s="1">
        <v>2.5777986732788048E-2</v>
      </c>
      <c r="AF203" s="2">
        <f t="shared" si="50"/>
        <v>0.18441415598634636</v>
      </c>
      <c r="AG203" s="2">
        <f>AF203+AC203</f>
        <v>0.23370071488375088</v>
      </c>
      <c r="AH203" s="1">
        <v>9.2032240613125524E-2</v>
      </c>
      <c r="AI203" s="2">
        <f t="shared" si="51"/>
        <v>0.24826348296515746</v>
      </c>
      <c r="AJ203" s="1">
        <v>9.5796535067946165E-2</v>
      </c>
      <c r="AK203" s="1">
        <v>0.14675923230501706</v>
      </c>
      <c r="AL203" s="4">
        <f t="shared" si="52"/>
        <v>0.24255576737296322</v>
      </c>
      <c r="AM203" s="1">
        <v>4.0843253687125651E-2</v>
      </c>
      <c r="AN203" s="4">
        <f t="shared" si="53"/>
        <v>0.28339902106008885</v>
      </c>
      <c r="AO203" s="1">
        <v>7.397722676627809E-2</v>
      </c>
      <c r="AP203" s="1">
        <v>0.14380767694982932</v>
      </c>
      <c r="AQ203" s="4">
        <f t="shared" si="54"/>
        <v>0.21778490371610743</v>
      </c>
      <c r="AR203" s="1">
        <v>0.50118392477619633</v>
      </c>
      <c r="AS203" s="1">
        <v>0.34029572357828297</v>
      </c>
      <c r="AT203" s="1">
        <v>0.1585203516455207</v>
      </c>
      <c r="AU203" s="1">
        <f t="shared" si="55"/>
        <v>0.1244656984607458</v>
      </c>
      <c r="AV203" s="1">
        <v>9</v>
      </c>
      <c r="AW203">
        <v>333</v>
      </c>
      <c r="AX203">
        <v>297</v>
      </c>
      <c r="AY203" s="6">
        <v>22</v>
      </c>
      <c r="AZ203" s="6">
        <v>4</v>
      </c>
      <c r="BA203" s="11">
        <f t="shared" si="56"/>
        <v>20.8125</v>
      </c>
      <c r="BB203">
        <f t="shared" si="57"/>
        <v>18.5625</v>
      </c>
      <c r="BC203">
        <f t="shared" si="58"/>
        <v>36</v>
      </c>
      <c r="BD203">
        <f t="shared" si="59"/>
        <v>2.25</v>
      </c>
      <c r="BE203" s="10">
        <v>9.1080576154945803</v>
      </c>
      <c r="BF203" s="6">
        <v>25.75806</v>
      </c>
      <c r="BG203" s="6">
        <v>27.661729999999999</v>
      </c>
      <c r="BH203" s="6">
        <v>0.64654800000000001</v>
      </c>
      <c r="BI203" s="6">
        <v>0.54838699999999996</v>
      </c>
      <c r="BJ203" s="6"/>
      <c r="BK203" s="6" t="s">
        <v>73</v>
      </c>
      <c r="BL203" s="6" t="s">
        <v>96</v>
      </c>
      <c r="BM203" s="6" t="s">
        <v>93</v>
      </c>
      <c r="BN203" s="6" t="s">
        <v>93</v>
      </c>
    </row>
    <row r="204" spans="1:80">
      <c r="A204" s="1" t="s">
        <v>314</v>
      </c>
      <c r="B204" s="1">
        <v>2016</v>
      </c>
      <c r="C204" s="1" t="s">
        <v>98</v>
      </c>
      <c r="D204" s="1">
        <v>23338824</v>
      </c>
      <c r="E204" s="1">
        <v>3971695</v>
      </c>
      <c r="F204" s="1">
        <v>17699492</v>
      </c>
      <c r="G204" s="1">
        <v>6514242</v>
      </c>
      <c r="H204" s="2">
        <f t="shared" si="45"/>
        <v>24213734</v>
      </c>
      <c r="I204" s="2">
        <f>H204+E204</f>
        <v>28185429</v>
      </c>
      <c r="J204" s="1">
        <v>17174595</v>
      </c>
      <c r="K204" s="2">
        <f t="shared" si="46"/>
        <v>51524253</v>
      </c>
      <c r="L204" s="1">
        <v>68698848</v>
      </c>
      <c r="M204" s="1">
        <v>8782820</v>
      </c>
      <c r="N204" s="1">
        <v>8535944</v>
      </c>
      <c r="O204" s="4">
        <f t="shared" si="47"/>
        <v>17318764</v>
      </c>
      <c r="P204" s="1">
        <v>13539421</v>
      </c>
      <c r="Q204" s="4">
        <f t="shared" si="48"/>
        <v>30858185</v>
      </c>
      <c r="R204" s="1">
        <v>11189104</v>
      </c>
      <c r="S204" s="1">
        <v>8071148</v>
      </c>
      <c r="T204" s="4">
        <f t="shared" si="49"/>
        <v>19260252</v>
      </c>
      <c r="U204" s="1">
        <v>50118437</v>
      </c>
      <c r="V204" s="1">
        <v>2016</v>
      </c>
      <c r="W204" s="8">
        <v>8951089</v>
      </c>
      <c r="X204" s="1">
        <v>0.56299999999999994</v>
      </c>
      <c r="Y204" s="1">
        <v>1</v>
      </c>
      <c r="Z204" s="1">
        <v>0</v>
      </c>
      <c r="AA204" s="1">
        <v>155270000</v>
      </c>
      <c r="AB204" s="1">
        <v>0.15031122560700716</v>
      </c>
      <c r="AC204" s="1">
        <v>2.5579281252012625E-2</v>
      </c>
      <c r="AD204" s="1">
        <v>0.11399170477233207</v>
      </c>
      <c r="AE204" s="1">
        <v>4.1954286082308237E-2</v>
      </c>
      <c r="AF204" s="2">
        <f t="shared" si="50"/>
        <v>0.15594599085464031</v>
      </c>
      <c r="AG204" s="2">
        <f>AF204+AC204</f>
        <v>0.18152527210665292</v>
      </c>
      <c r="AH204" s="1">
        <v>0.11061116120306563</v>
      </c>
      <c r="AI204" s="2">
        <f t="shared" si="51"/>
        <v>0.33183649771366008</v>
      </c>
      <c r="AJ204" s="1">
        <v>5.6564822567141106E-2</v>
      </c>
      <c r="AK204" s="1">
        <v>5.4974843820441814E-2</v>
      </c>
      <c r="AL204" s="4">
        <f t="shared" si="52"/>
        <v>0.11153966638758292</v>
      </c>
      <c r="AM204" s="1">
        <v>8.7199207831519285E-2</v>
      </c>
      <c r="AN204" s="4">
        <f t="shared" si="53"/>
        <v>0.19873887421910219</v>
      </c>
      <c r="AO204" s="1">
        <v>7.2062239969086103E-2</v>
      </c>
      <c r="AP204" s="1">
        <v>5.1981374380112064E-2</v>
      </c>
      <c r="AQ204" s="4">
        <f t="shared" si="54"/>
        <v>0.12404361434919817</v>
      </c>
      <c r="AR204" s="1">
        <v>0.32278248856830039</v>
      </c>
      <c r="AS204" s="1">
        <v>0.44244765891672572</v>
      </c>
      <c r="AT204" s="1">
        <v>0.23476985251497395</v>
      </c>
      <c r="AU204" s="1">
        <f t="shared" si="55"/>
        <v>5.7648541250724543E-2</v>
      </c>
      <c r="AV204" s="1">
        <v>9</v>
      </c>
      <c r="AW204">
        <v>346</v>
      </c>
      <c r="AX204">
        <v>358</v>
      </c>
      <c r="AY204" s="6">
        <v>20</v>
      </c>
      <c r="AZ204" s="6">
        <v>13</v>
      </c>
      <c r="BA204" s="11">
        <f t="shared" si="56"/>
        <v>21.625</v>
      </c>
      <c r="BB204">
        <f t="shared" si="57"/>
        <v>22.375</v>
      </c>
      <c r="BC204">
        <f t="shared" si="58"/>
        <v>-12</v>
      </c>
      <c r="BD204">
        <f t="shared" si="59"/>
        <v>-0.75</v>
      </c>
      <c r="BE204" s="10">
        <v>7.7139807948312704</v>
      </c>
      <c r="BF204" s="6">
        <v>26.169229999999999</v>
      </c>
      <c r="BG204" s="6">
        <v>27.43253</v>
      </c>
      <c r="BH204" s="6">
        <v>0.627328</v>
      </c>
      <c r="BI204" s="6">
        <v>0.56923100000000004</v>
      </c>
      <c r="BJ204" s="6"/>
      <c r="BK204" s="6" t="s">
        <v>73</v>
      </c>
      <c r="BL204" s="6" t="s">
        <v>96</v>
      </c>
      <c r="BM204" s="6" t="s">
        <v>93</v>
      </c>
      <c r="BN204" s="6" t="s">
        <v>93</v>
      </c>
    </row>
    <row r="205" spans="1:80">
      <c r="A205" s="1" t="s">
        <v>315</v>
      </c>
      <c r="B205" s="1">
        <v>2016</v>
      </c>
      <c r="C205" s="1" t="s">
        <v>101</v>
      </c>
      <c r="D205" s="1">
        <v>19910320</v>
      </c>
      <c r="E205" s="1">
        <v>4891731</v>
      </c>
      <c r="F205" s="1">
        <v>20545094</v>
      </c>
      <c r="G205" s="1">
        <v>3544204</v>
      </c>
      <c r="H205" s="2">
        <f>SUM(F205:G205)</f>
        <v>24089298</v>
      </c>
      <c r="I205" s="2">
        <f>H205+E205</f>
        <v>28981029</v>
      </c>
      <c r="J205" s="1">
        <v>20810535</v>
      </c>
      <c r="K205" s="2">
        <f>SUM(D205:G205)</f>
        <v>48891349</v>
      </c>
      <c r="L205" s="1">
        <v>69701884</v>
      </c>
      <c r="M205" s="1">
        <v>14048475</v>
      </c>
      <c r="N205" s="1">
        <v>32922762</v>
      </c>
      <c r="O205" s="4">
        <f>SUM(M205:N205)</f>
        <v>46971237</v>
      </c>
      <c r="P205" s="1">
        <v>1857299</v>
      </c>
      <c r="Q205" s="4">
        <f>SUM(O205:P205)</f>
        <v>48828536</v>
      </c>
      <c r="R205" s="1">
        <v>10976780</v>
      </c>
      <c r="S205" s="1">
        <v>16459880</v>
      </c>
      <c r="T205" s="4">
        <f>SUM(R205:S205)</f>
        <v>27436660</v>
      </c>
      <c r="U205" s="1">
        <v>76265196</v>
      </c>
      <c r="V205" s="1">
        <v>2016</v>
      </c>
      <c r="W205" s="8">
        <v>15114512</v>
      </c>
      <c r="X205" s="1">
        <v>0.625</v>
      </c>
      <c r="Y205" s="1">
        <v>1</v>
      </c>
      <c r="Z205" s="1">
        <v>0</v>
      </c>
      <c r="AA205" s="1">
        <v>155270000</v>
      </c>
      <c r="AB205" s="1">
        <v>0.12823030849487987</v>
      </c>
      <c r="AC205" s="1">
        <v>3.1504675726154438E-2</v>
      </c>
      <c r="AD205" s="1">
        <v>0.13231850325239905</v>
      </c>
      <c r="AE205" s="1">
        <v>2.282607071552779E-2</v>
      </c>
      <c r="AF205" s="2">
        <f>SUM(AD205:AE205)</f>
        <v>0.15514457396792683</v>
      </c>
      <c r="AG205" s="2">
        <f>AF205+AC205</f>
        <v>0.18664924969408125</v>
      </c>
      <c r="AH205" s="1">
        <v>0.1340280479165325</v>
      </c>
      <c r="AI205" s="2">
        <f>SUM(AB205:AE205)</f>
        <v>0.31487955818896118</v>
      </c>
      <c r="AJ205" s="1">
        <v>9.0477716236233657E-2</v>
      </c>
      <c r="AK205" s="1">
        <v>0.21203556385650801</v>
      </c>
      <c r="AL205" s="4">
        <f>SUM(AJ205:AK205)</f>
        <v>0.3025132800927417</v>
      </c>
      <c r="AM205" s="1">
        <v>1.1961737618342242E-2</v>
      </c>
      <c r="AN205" s="4">
        <f>SUM(AL205:AM205)</f>
        <v>0.31447501771108394</v>
      </c>
      <c r="AO205" s="1">
        <v>7.0694789721130927E-2</v>
      </c>
      <c r="AP205" s="1">
        <v>0.10600811489663167</v>
      </c>
      <c r="AQ205" s="4">
        <f>SUM(AO205:AP205)</f>
        <v>0.17670290461776261</v>
      </c>
      <c r="AR205" s="1">
        <v>0.49117792232884655</v>
      </c>
      <c r="AS205" s="1">
        <v>0.44890760610549368</v>
      </c>
      <c r="AT205" s="1">
        <v>5.9914471565659766E-2</v>
      </c>
      <c r="AU205" s="1">
        <f t="shared" si="55"/>
        <v>9.7343414696979449E-2</v>
      </c>
      <c r="AV205" s="1">
        <v>10</v>
      </c>
      <c r="AW205">
        <v>432</v>
      </c>
      <c r="AX205">
        <v>388</v>
      </c>
      <c r="AY205" s="6">
        <v>4</v>
      </c>
      <c r="AZ205" s="6">
        <v>21</v>
      </c>
      <c r="BA205" s="11">
        <f t="shared" si="56"/>
        <v>27</v>
      </c>
      <c r="BB205">
        <f t="shared" si="57"/>
        <v>24.25</v>
      </c>
      <c r="BC205">
        <f t="shared" si="58"/>
        <v>44</v>
      </c>
      <c r="BD205">
        <f t="shared" si="59"/>
        <v>2.75</v>
      </c>
      <c r="BE205" s="10">
        <v>9.3404037522718006</v>
      </c>
      <c r="BF205" s="6">
        <v>25.56897</v>
      </c>
      <c r="BG205" s="6">
        <v>28.661560000000001</v>
      </c>
      <c r="BH205" s="6">
        <v>0.64399099999999998</v>
      </c>
      <c r="BI205" s="6">
        <v>0.65517199999999998</v>
      </c>
      <c r="BJ205" s="6"/>
      <c r="BK205" s="6" t="s">
        <v>67</v>
      </c>
      <c r="BL205" s="6" t="s">
        <v>96</v>
      </c>
      <c r="BM205" s="6" t="s">
        <v>70</v>
      </c>
      <c r="BN205" s="6" t="s">
        <v>70</v>
      </c>
    </row>
    <row r="206" spans="1:80">
      <c r="A206" s="1" t="s">
        <v>316</v>
      </c>
      <c r="B206" s="1">
        <v>2016</v>
      </c>
      <c r="C206" s="1" t="s">
        <v>104</v>
      </c>
      <c r="D206" s="1">
        <v>14412646</v>
      </c>
      <c r="E206" s="1">
        <v>7911734</v>
      </c>
      <c r="F206" s="1">
        <v>6448981</v>
      </c>
      <c r="G206" s="1">
        <v>2062362</v>
      </c>
      <c r="H206" s="2">
        <f t="shared" si="45"/>
        <v>8511343</v>
      </c>
      <c r="I206" s="2">
        <f>H206+E206</f>
        <v>16423077</v>
      </c>
      <c r="J206" s="1">
        <v>31103538</v>
      </c>
      <c r="K206" s="2">
        <f t="shared" si="46"/>
        <v>30835723</v>
      </c>
      <c r="L206" s="1">
        <v>61939261</v>
      </c>
      <c r="M206" s="1">
        <v>22938450</v>
      </c>
      <c r="N206" s="1">
        <v>14197538</v>
      </c>
      <c r="O206" s="4">
        <f t="shared" si="47"/>
        <v>37135988</v>
      </c>
      <c r="P206" s="1">
        <v>14400101</v>
      </c>
      <c r="Q206" s="4">
        <f t="shared" si="48"/>
        <v>51536089</v>
      </c>
      <c r="R206" s="1">
        <v>5327548</v>
      </c>
      <c r="S206" s="1">
        <v>19939515</v>
      </c>
      <c r="T206" s="4">
        <f t="shared" si="49"/>
        <v>25267063</v>
      </c>
      <c r="U206" s="1">
        <v>76803152</v>
      </c>
      <c r="V206" s="1">
        <v>2016</v>
      </c>
      <c r="W206" s="8">
        <v>28091929</v>
      </c>
      <c r="X206" s="1">
        <v>0.56299999999999994</v>
      </c>
      <c r="Y206" s="1">
        <v>1</v>
      </c>
      <c r="Z206" s="1">
        <v>0</v>
      </c>
      <c r="AA206" s="1">
        <v>155270000</v>
      </c>
      <c r="AB206" s="1">
        <v>9.2823121015006116E-2</v>
      </c>
      <c r="AC206" s="1">
        <v>5.095468538674567E-2</v>
      </c>
      <c r="AD206" s="1">
        <v>4.1533979519546599E-2</v>
      </c>
      <c r="AE206" s="1">
        <v>1.3282424164358859E-2</v>
      </c>
      <c r="AF206" s="2">
        <f t="shared" si="50"/>
        <v>5.481640368390546E-2</v>
      </c>
      <c r="AG206" s="2">
        <f>AF206+AC206</f>
        <v>0.10577108907065114</v>
      </c>
      <c r="AH206" s="1">
        <v>0.20031904424550784</v>
      </c>
      <c r="AI206" s="2">
        <f t="shared" si="51"/>
        <v>0.19859421008565722</v>
      </c>
      <c r="AJ206" s="1">
        <v>0.1477326592387454</v>
      </c>
      <c r="AK206" s="1">
        <v>9.143774070973143E-2</v>
      </c>
      <c r="AL206" s="4">
        <f t="shared" si="52"/>
        <v>0.23917039994847683</v>
      </c>
      <c r="AM206" s="1">
        <v>9.2742326270367742E-2</v>
      </c>
      <c r="AN206" s="4">
        <f t="shared" si="53"/>
        <v>0.3319127262188446</v>
      </c>
      <c r="AO206" s="1">
        <v>3.4311508984349842E-2</v>
      </c>
      <c r="AP206" s="1">
        <v>0.12841833580215109</v>
      </c>
      <c r="AQ206" s="4">
        <f t="shared" si="54"/>
        <v>0.16272984478650093</v>
      </c>
      <c r="AR206" s="1">
        <v>0.49464257100534553</v>
      </c>
      <c r="AS206" s="1">
        <v>0.39891325433116509</v>
      </c>
      <c r="AT206" s="1">
        <v>0.10644417466348943</v>
      </c>
      <c r="AU206" s="1">
        <f t="shared" si="55"/>
        <v>0.18092309525342951</v>
      </c>
      <c r="AV206" s="1">
        <v>9</v>
      </c>
      <c r="AW206">
        <v>279</v>
      </c>
      <c r="AX206">
        <v>328</v>
      </c>
      <c r="AY206" s="6">
        <v>28</v>
      </c>
      <c r="AZ206" s="6">
        <v>11</v>
      </c>
      <c r="BA206" s="11">
        <f t="shared" si="56"/>
        <v>17.4375</v>
      </c>
      <c r="BB206">
        <f t="shared" si="57"/>
        <v>20.5</v>
      </c>
      <c r="BC206">
        <f t="shared" si="58"/>
        <v>-49</v>
      </c>
      <c r="BD206">
        <f t="shared" si="59"/>
        <v>-3.0625</v>
      </c>
      <c r="BE206" s="10">
        <v>6.6393799122366302</v>
      </c>
      <c r="BF206" s="6">
        <v>26.151520000000001</v>
      </c>
      <c r="BG206" s="6">
        <v>27.61129</v>
      </c>
      <c r="BH206" s="6">
        <v>0.60855499999999996</v>
      </c>
      <c r="BI206" s="6">
        <v>0.63636400000000004</v>
      </c>
      <c r="BJ206" s="6"/>
      <c r="BK206" s="6" t="s">
        <v>73</v>
      </c>
      <c r="BL206" s="6" t="s">
        <v>68</v>
      </c>
      <c r="BM206" s="6" t="s">
        <v>99</v>
      </c>
      <c r="BN206" s="6" t="s">
        <v>93</v>
      </c>
    </row>
    <row r="207" spans="1:80">
      <c r="A207" s="1" t="s">
        <v>317</v>
      </c>
      <c r="B207" s="1">
        <v>2016</v>
      </c>
      <c r="C207" s="1" t="s">
        <v>106</v>
      </c>
      <c r="D207" s="1">
        <v>19980000</v>
      </c>
      <c r="E207" s="1">
        <v>5551333</v>
      </c>
      <c r="F207" s="1">
        <v>14669690</v>
      </c>
      <c r="G207" s="1">
        <v>11144550</v>
      </c>
      <c r="H207" s="2">
        <f t="shared" si="45"/>
        <v>25814240</v>
      </c>
      <c r="I207" s="2">
        <f>H207+E207</f>
        <v>31365573</v>
      </c>
      <c r="J207" s="1">
        <v>20978970</v>
      </c>
      <c r="K207" s="2">
        <f t="shared" si="46"/>
        <v>51345573</v>
      </c>
      <c r="L207" s="1">
        <v>72324543</v>
      </c>
      <c r="M207" s="1">
        <v>11141107</v>
      </c>
      <c r="N207" s="1">
        <v>17579573</v>
      </c>
      <c r="O207" s="4">
        <f t="shared" si="47"/>
        <v>28720680</v>
      </c>
      <c r="P207" s="1">
        <v>6160859</v>
      </c>
      <c r="Q207" s="4">
        <f t="shared" si="48"/>
        <v>34881539</v>
      </c>
      <c r="R207" s="1">
        <v>7650838</v>
      </c>
      <c r="S207" s="1">
        <v>13866511</v>
      </c>
      <c r="T207" s="4">
        <f t="shared" si="49"/>
        <v>21517349</v>
      </c>
      <c r="U207" s="1">
        <v>56398888</v>
      </c>
      <c r="V207" s="1">
        <v>2016</v>
      </c>
      <c r="W207" s="8">
        <v>21160004</v>
      </c>
      <c r="X207" s="1">
        <v>0.5</v>
      </c>
      <c r="Y207" s="1">
        <v>0</v>
      </c>
      <c r="Z207" s="1">
        <v>0</v>
      </c>
      <c r="AA207" s="1">
        <v>155270000</v>
      </c>
      <c r="AB207" s="1">
        <v>0.12867907515939975</v>
      </c>
      <c r="AC207" s="1">
        <v>3.5752772589682486E-2</v>
      </c>
      <c r="AD207" s="1">
        <v>9.44785856894442E-2</v>
      </c>
      <c r="AE207" s="1">
        <v>7.1775294648032464E-2</v>
      </c>
      <c r="AF207" s="2">
        <f t="shared" si="50"/>
        <v>0.16625388033747668</v>
      </c>
      <c r="AG207" s="2">
        <f>AF207+AC207</f>
        <v>0.20200665292715916</v>
      </c>
      <c r="AH207" s="1">
        <v>0.13511283570554519</v>
      </c>
      <c r="AI207" s="2">
        <f t="shared" si="51"/>
        <v>0.33068572808655888</v>
      </c>
      <c r="AJ207" s="1">
        <v>7.1753120370966705E-2</v>
      </c>
      <c r="AK207" s="1">
        <v>0.11321937914600373</v>
      </c>
      <c r="AL207" s="4">
        <f t="shared" si="52"/>
        <v>0.18497249951697042</v>
      </c>
      <c r="AM207" s="1">
        <v>3.9678360275648868E-2</v>
      </c>
      <c r="AN207" s="4">
        <f t="shared" si="53"/>
        <v>0.22465085979261928</v>
      </c>
      <c r="AO207" s="1">
        <v>4.9274412314033622E-2</v>
      </c>
      <c r="AP207" s="1">
        <v>8.9305796354736913E-2</v>
      </c>
      <c r="AQ207" s="4">
        <f t="shared" si="54"/>
        <v>0.13858020866877052</v>
      </c>
      <c r="AR207" s="1">
        <v>0.36323106846138986</v>
      </c>
      <c r="AS207" s="1">
        <v>0.4657985637921041</v>
      </c>
      <c r="AT207" s="1">
        <v>0.17097036774650598</v>
      </c>
      <c r="AU207" s="1">
        <f t="shared" si="55"/>
        <v>0.13627876602048045</v>
      </c>
      <c r="AV207" s="1">
        <v>8</v>
      </c>
      <c r="AW207">
        <v>411</v>
      </c>
      <c r="AX207">
        <v>392</v>
      </c>
      <c r="AY207" s="6">
        <v>8</v>
      </c>
      <c r="AZ207" s="6">
        <v>22</v>
      </c>
      <c r="BA207" s="11">
        <f t="shared" si="56"/>
        <v>25.6875</v>
      </c>
      <c r="BB207">
        <f t="shared" si="57"/>
        <v>24.5</v>
      </c>
      <c r="BC207">
        <f t="shared" si="58"/>
        <v>19</v>
      </c>
      <c r="BD207">
        <f t="shared" si="59"/>
        <v>1.1875</v>
      </c>
      <c r="BE207" s="10">
        <v>8.6143220748429901</v>
      </c>
      <c r="BF207" s="6">
        <v>26.4375</v>
      </c>
      <c r="BG207" s="6">
        <v>28.587689999999998</v>
      </c>
      <c r="BH207" s="6">
        <v>0.63161</v>
      </c>
      <c r="BI207" s="6">
        <v>0.515625</v>
      </c>
      <c r="BJ207" s="6"/>
      <c r="BK207" s="6" t="s">
        <v>67</v>
      </c>
      <c r="BL207" s="6" t="s">
        <v>96</v>
      </c>
      <c r="BM207" s="6" t="s">
        <v>70</v>
      </c>
      <c r="BN207" s="6" t="s">
        <v>70</v>
      </c>
    </row>
    <row r="208" spans="1:80">
      <c r="A208" s="1" t="s">
        <v>318</v>
      </c>
      <c r="B208" s="1">
        <v>2016</v>
      </c>
      <c r="C208" s="1" t="s">
        <v>108</v>
      </c>
      <c r="D208" s="1">
        <v>10864196</v>
      </c>
      <c r="E208" s="1">
        <v>5551588</v>
      </c>
      <c r="F208" s="1">
        <v>14724668</v>
      </c>
      <c r="G208" s="1">
        <v>11943324</v>
      </c>
      <c r="H208" s="2">
        <f t="shared" si="45"/>
        <v>26667992</v>
      </c>
      <c r="I208" s="2">
        <f>H208+E208</f>
        <v>32219580</v>
      </c>
      <c r="J208" s="1">
        <v>23735090</v>
      </c>
      <c r="K208" s="2">
        <f t="shared" si="46"/>
        <v>43083776</v>
      </c>
      <c r="L208" s="1">
        <v>66818866</v>
      </c>
      <c r="M208" s="1">
        <v>33501913</v>
      </c>
      <c r="N208" s="1">
        <v>7011441</v>
      </c>
      <c r="O208" s="4">
        <f t="shared" si="47"/>
        <v>40513354</v>
      </c>
      <c r="P208" s="1">
        <v>11297021</v>
      </c>
      <c r="Q208" s="4">
        <f t="shared" si="48"/>
        <v>51810375</v>
      </c>
      <c r="R208" s="1">
        <v>7647569</v>
      </c>
      <c r="S208" s="1">
        <v>16930497</v>
      </c>
      <c r="T208" s="4">
        <f t="shared" si="49"/>
        <v>24578066</v>
      </c>
      <c r="U208" s="1">
        <v>76388441</v>
      </c>
      <c r="V208" s="1">
        <v>2016</v>
      </c>
      <c r="W208" s="8">
        <v>35670710</v>
      </c>
      <c r="X208" s="1">
        <v>0.188</v>
      </c>
      <c r="Y208" s="1">
        <v>0</v>
      </c>
      <c r="Z208" s="1">
        <v>0</v>
      </c>
      <c r="AA208" s="1">
        <v>155270000</v>
      </c>
      <c r="AB208" s="1">
        <v>6.9969704385908424E-2</v>
      </c>
      <c r="AC208" s="1">
        <v>3.575441489019128E-2</v>
      </c>
      <c r="AD208" s="1">
        <v>9.4832665679139561E-2</v>
      </c>
      <c r="AE208" s="1">
        <v>7.6919714046499651E-2</v>
      </c>
      <c r="AF208" s="2">
        <f t="shared" si="50"/>
        <v>0.17175237972563923</v>
      </c>
      <c r="AG208" s="2">
        <f>AF208+AC208</f>
        <v>0.20750679461583049</v>
      </c>
      <c r="AH208" s="1">
        <v>0.15286333483609196</v>
      </c>
      <c r="AI208" s="2">
        <f t="shared" si="51"/>
        <v>0.27747649900173893</v>
      </c>
      <c r="AJ208" s="1">
        <v>0.2157655245701037</v>
      </c>
      <c r="AK208" s="1">
        <v>4.5156443614349201E-2</v>
      </c>
      <c r="AL208" s="4">
        <f t="shared" si="52"/>
        <v>0.2609219681844529</v>
      </c>
      <c r="AM208" s="1">
        <v>7.2757267984800672E-2</v>
      </c>
      <c r="AN208" s="4">
        <f t="shared" si="53"/>
        <v>0.33367923616925355</v>
      </c>
      <c r="AO208" s="1">
        <v>4.9253358665550334E-2</v>
      </c>
      <c r="AP208" s="1">
        <v>0.10903907387132092</v>
      </c>
      <c r="AQ208" s="4">
        <f t="shared" si="54"/>
        <v>0.15829243253687125</v>
      </c>
      <c r="AR208" s="1">
        <v>0.4919716687061248</v>
      </c>
      <c r="AS208" s="1">
        <v>0.43033983383783087</v>
      </c>
      <c r="AT208" s="1">
        <v>7.7688497456044336E-2</v>
      </c>
      <c r="AU208" s="1">
        <f t="shared" si="55"/>
        <v>0.22973343208604366</v>
      </c>
      <c r="AV208" s="1">
        <v>3</v>
      </c>
      <c r="AW208">
        <v>318</v>
      </c>
      <c r="AX208">
        <v>400</v>
      </c>
      <c r="AY208" s="6">
        <v>25</v>
      </c>
      <c r="AZ208" s="6">
        <v>25</v>
      </c>
      <c r="BA208" s="11">
        <f t="shared" si="56"/>
        <v>19.875</v>
      </c>
      <c r="BB208">
        <f t="shared" si="57"/>
        <v>25</v>
      </c>
      <c r="BC208">
        <f t="shared" si="58"/>
        <v>-82</v>
      </c>
      <c r="BD208">
        <f t="shared" si="59"/>
        <v>-5.125</v>
      </c>
      <c r="BE208" s="10">
        <v>5.6809520980306001</v>
      </c>
      <c r="BF208" s="6">
        <v>25.588239999999999</v>
      </c>
      <c r="BG208" s="6">
        <v>26.7943</v>
      </c>
      <c r="BH208" s="6">
        <v>0.59596099999999996</v>
      </c>
      <c r="BI208" s="6">
        <v>0.63235300000000005</v>
      </c>
      <c r="BJ208" s="6"/>
      <c r="BK208" s="6" t="s">
        <v>73</v>
      </c>
      <c r="BL208" s="6" t="s">
        <v>68</v>
      </c>
      <c r="BM208" s="6" t="s">
        <v>99</v>
      </c>
      <c r="BN208" s="6" t="s">
        <v>93</v>
      </c>
    </row>
    <row r="209" spans="1:66">
      <c r="A209" s="1" t="s">
        <v>319</v>
      </c>
      <c r="B209" s="1">
        <v>2016</v>
      </c>
      <c r="C209" s="1" t="s">
        <v>110</v>
      </c>
      <c r="D209" s="1">
        <v>20232200</v>
      </c>
      <c r="E209" s="1">
        <v>8036819</v>
      </c>
      <c r="F209" s="1">
        <v>16078663</v>
      </c>
      <c r="G209" s="1">
        <v>4923789</v>
      </c>
      <c r="H209" s="2">
        <f t="shared" si="45"/>
        <v>21002452</v>
      </c>
      <c r="I209" s="2">
        <f>H209+E209</f>
        <v>29039271</v>
      </c>
      <c r="J209" s="1">
        <v>14976072</v>
      </c>
      <c r="K209" s="2">
        <f t="shared" si="46"/>
        <v>49271471</v>
      </c>
      <c r="L209" s="1">
        <v>64247543</v>
      </c>
      <c r="M209" s="1">
        <v>17326136</v>
      </c>
      <c r="N209" s="1">
        <v>21124929</v>
      </c>
      <c r="O209" s="4">
        <f t="shared" si="47"/>
        <v>38451065</v>
      </c>
      <c r="P209" s="1">
        <v>7381104</v>
      </c>
      <c r="Q209" s="4">
        <f t="shared" si="48"/>
        <v>45832169</v>
      </c>
      <c r="R209" s="1">
        <v>15661151</v>
      </c>
      <c r="S209" s="1">
        <v>5252667</v>
      </c>
      <c r="T209" s="4">
        <f t="shared" si="49"/>
        <v>20913818</v>
      </c>
      <c r="U209" s="1">
        <v>66745987</v>
      </c>
      <c r="V209" s="1">
        <v>2016</v>
      </c>
      <c r="W209" s="8">
        <v>22307196</v>
      </c>
      <c r="X209" s="1">
        <v>0.75</v>
      </c>
      <c r="Y209" s="1">
        <v>1</v>
      </c>
      <c r="Z209" s="1">
        <v>0</v>
      </c>
      <c r="AA209" s="1">
        <v>155270000</v>
      </c>
      <c r="AB209" s="1">
        <v>0.13030334256456494</v>
      </c>
      <c r="AC209" s="1">
        <v>5.1760282089263865E-2</v>
      </c>
      <c r="AD209" s="1">
        <v>0.10355292715914213</v>
      </c>
      <c r="AE209" s="1">
        <v>3.1711141881883169E-2</v>
      </c>
      <c r="AF209" s="2">
        <f t="shared" si="50"/>
        <v>0.13526406904102531</v>
      </c>
      <c r="AG209" s="2">
        <f>AF209+AC209</f>
        <v>0.18702435113028917</v>
      </c>
      <c r="AH209" s="1">
        <v>9.6451806530559667E-2</v>
      </c>
      <c r="AI209" s="2">
        <f t="shared" si="51"/>
        <v>0.31732769369485414</v>
      </c>
      <c r="AJ209" s="1">
        <v>0.11158714497327236</v>
      </c>
      <c r="AK209" s="1">
        <v>0.13605286919559478</v>
      </c>
      <c r="AL209" s="4">
        <f t="shared" si="52"/>
        <v>0.24764001416886716</v>
      </c>
      <c r="AM209" s="1">
        <v>4.7537219037805112E-2</v>
      </c>
      <c r="AN209" s="4">
        <f t="shared" si="53"/>
        <v>0.29517723320667227</v>
      </c>
      <c r="AO209" s="1">
        <v>0.10086398531590134</v>
      </c>
      <c r="AP209" s="1">
        <v>3.3829245829844784E-2</v>
      </c>
      <c r="AQ209" s="4">
        <f t="shared" si="54"/>
        <v>0.13469323114574611</v>
      </c>
      <c r="AR209" s="1">
        <v>0.42987046435241838</v>
      </c>
      <c r="AS209" s="1">
        <v>0.41377950022541382</v>
      </c>
      <c r="AT209" s="1">
        <v>0.15635003542216785</v>
      </c>
      <c r="AU209" s="1">
        <f t="shared" si="55"/>
        <v>0.14366713466864173</v>
      </c>
      <c r="AV209" s="1">
        <v>12</v>
      </c>
      <c r="AW209">
        <v>389</v>
      </c>
      <c r="AX209">
        <v>311</v>
      </c>
      <c r="AY209" s="6">
        <v>13</v>
      </c>
      <c r="AZ209" s="6">
        <v>7</v>
      </c>
      <c r="BA209" s="11">
        <f t="shared" si="56"/>
        <v>24.3125</v>
      </c>
      <c r="BB209">
        <f t="shared" si="57"/>
        <v>19.4375</v>
      </c>
      <c r="BC209">
        <f t="shared" si="58"/>
        <v>78</v>
      </c>
      <c r="BD209">
        <f t="shared" si="59"/>
        <v>4.875</v>
      </c>
      <c r="BE209" s="10">
        <v>10.327874833575001</v>
      </c>
      <c r="BF209" s="6">
        <v>25.746030000000001</v>
      </c>
      <c r="BG209" s="6">
        <v>27.963799999999999</v>
      </c>
      <c r="BH209" s="6">
        <v>0.62829100000000004</v>
      </c>
      <c r="BI209" s="6">
        <v>0.61904800000000004</v>
      </c>
      <c r="BJ209" s="6"/>
      <c r="BK209" s="6" t="s">
        <v>80</v>
      </c>
      <c r="BL209" s="6" t="s">
        <v>96</v>
      </c>
      <c r="BM209" s="6" t="s">
        <v>164</v>
      </c>
      <c r="BN209" s="6" t="s">
        <v>93</v>
      </c>
    </row>
    <row r="210" spans="1:66">
      <c r="A210" s="1" t="s">
        <v>320</v>
      </c>
      <c r="B210" s="1">
        <v>2016</v>
      </c>
      <c r="C210" s="1" t="s">
        <v>116</v>
      </c>
      <c r="D210" s="1">
        <v>9453311</v>
      </c>
      <c r="E210" s="1">
        <v>6684248</v>
      </c>
      <c r="F210" s="1">
        <v>16984504</v>
      </c>
      <c r="G210" s="1">
        <v>7779092</v>
      </c>
      <c r="H210" s="2">
        <f t="shared" si="45"/>
        <v>24763596</v>
      </c>
      <c r="I210" s="2">
        <f>H210+E210</f>
        <v>31447844</v>
      </c>
      <c r="J210" s="1">
        <v>18948473</v>
      </c>
      <c r="K210" s="2">
        <f t="shared" si="46"/>
        <v>40901155</v>
      </c>
      <c r="L210" s="1">
        <v>59849628</v>
      </c>
      <c r="M210" s="1">
        <v>12337912</v>
      </c>
      <c r="N210" s="1">
        <v>22337341</v>
      </c>
      <c r="O210" s="4">
        <f t="shared" si="47"/>
        <v>34675253</v>
      </c>
      <c r="P210" s="1">
        <v>9904864</v>
      </c>
      <c r="Q210" s="4">
        <f t="shared" si="48"/>
        <v>44580117</v>
      </c>
      <c r="R210" s="1">
        <v>6193434</v>
      </c>
      <c r="S210" s="1">
        <v>14857989</v>
      </c>
      <c r="T210" s="4">
        <f t="shared" si="49"/>
        <v>21051423</v>
      </c>
      <c r="U210" s="1">
        <v>65631540</v>
      </c>
      <c r="V210" s="1">
        <v>2016</v>
      </c>
      <c r="W210" s="8">
        <v>18487672</v>
      </c>
      <c r="X210" s="1">
        <v>0.25</v>
      </c>
      <c r="Y210" s="1">
        <v>0</v>
      </c>
      <c r="Z210" s="1">
        <v>0</v>
      </c>
      <c r="AA210" s="1">
        <v>155270000</v>
      </c>
      <c r="AB210" s="1">
        <v>6.0883048882591613E-2</v>
      </c>
      <c r="AC210" s="1">
        <v>4.3049191730533912E-2</v>
      </c>
      <c r="AD210" s="1">
        <v>0.10938690023829459</v>
      </c>
      <c r="AE210" s="1">
        <v>5.010041862561989E-2</v>
      </c>
      <c r="AF210" s="2">
        <f t="shared" si="50"/>
        <v>0.15948731886391448</v>
      </c>
      <c r="AG210" s="2">
        <f>AF210+AC210</f>
        <v>0.20253651059444838</v>
      </c>
      <c r="AH210" s="1">
        <v>0.12203563470084369</v>
      </c>
      <c r="AI210" s="2">
        <f t="shared" si="51"/>
        <v>0.26341955947703999</v>
      </c>
      <c r="AJ210" s="1">
        <v>7.9461016294197204E-2</v>
      </c>
      <c r="AK210" s="1">
        <v>0.14386128035035745</v>
      </c>
      <c r="AL210" s="4">
        <f t="shared" si="52"/>
        <v>0.22332229664455466</v>
      </c>
      <c r="AM210" s="1">
        <v>6.3791228183164808E-2</v>
      </c>
      <c r="AN210" s="4">
        <f t="shared" si="53"/>
        <v>0.28711352482771946</v>
      </c>
      <c r="AO210" s="1">
        <v>3.9888156115154248E-2</v>
      </c>
      <c r="AP210" s="1">
        <v>9.569130546789463E-2</v>
      </c>
      <c r="AQ210" s="4">
        <f t="shared" si="54"/>
        <v>0.13557946158304887</v>
      </c>
      <c r="AR210" s="1">
        <v>0.42269298641076836</v>
      </c>
      <c r="AS210" s="1">
        <v>0.38545519417788371</v>
      </c>
      <c r="AT210" s="1">
        <v>0.19185181941134788</v>
      </c>
      <c r="AU210" s="1">
        <f t="shared" si="55"/>
        <v>0.11906789463515167</v>
      </c>
      <c r="AV210" s="1">
        <v>4</v>
      </c>
      <c r="AW210">
        <v>224</v>
      </c>
      <c r="AX210">
        <v>394</v>
      </c>
      <c r="AY210" s="6">
        <v>32</v>
      </c>
      <c r="AZ210" s="6">
        <v>23</v>
      </c>
      <c r="BA210" s="11">
        <f t="shared" si="56"/>
        <v>14</v>
      </c>
      <c r="BB210">
        <f t="shared" si="57"/>
        <v>24.625</v>
      </c>
      <c r="BC210">
        <f t="shared" si="58"/>
        <v>-170</v>
      </c>
      <c r="BD210">
        <f t="shared" si="59"/>
        <v>-10.625</v>
      </c>
      <c r="BE210" s="10">
        <v>3.1251445934811799</v>
      </c>
      <c r="BF210" s="6">
        <v>25.076920000000001</v>
      </c>
      <c r="BG210" s="6">
        <v>26.18347</v>
      </c>
      <c r="BH210" s="6">
        <v>0.62038400000000005</v>
      </c>
      <c r="BI210" s="6">
        <v>0.64615400000000001</v>
      </c>
      <c r="BJ210" s="6"/>
      <c r="BK210" s="6" t="s">
        <v>73</v>
      </c>
      <c r="BL210" s="6" t="s">
        <v>68</v>
      </c>
      <c r="BM210" s="6" t="s">
        <v>99</v>
      </c>
      <c r="BN210" s="6" t="s">
        <v>93</v>
      </c>
    </row>
    <row r="211" spans="1:66">
      <c r="A211" s="1" t="s">
        <v>321</v>
      </c>
      <c r="B211" s="1">
        <v>2016</v>
      </c>
      <c r="C211" s="1" t="s">
        <v>118</v>
      </c>
      <c r="D211" s="1">
        <v>13281182</v>
      </c>
      <c r="E211" s="1">
        <v>1974686</v>
      </c>
      <c r="F211" s="1">
        <v>6367688</v>
      </c>
      <c r="G211" s="1">
        <v>11317299</v>
      </c>
      <c r="H211" s="2">
        <f t="shared" si="45"/>
        <v>17684987</v>
      </c>
      <c r="I211" s="2">
        <f>H211+E211</f>
        <v>19659673</v>
      </c>
      <c r="J211" s="1">
        <v>28834646</v>
      </c>
      <c r="K211" s="2">
        <f t="shared" si="46"/>
        <v>32940855</v>
      </c>
      <c r="L211" s="1">
        <v>61775501</v>
      </c>
      <c r="M211" s="1">
        <v>17479805</v>
      </c>
      <c r="N211" s="1">
        <v>24908290</v>
      </c>
      <c r="O211" s="4">
        <f t="shared" si="47"/>
        <v>42388095</v>
      </c>
      <c r="P211" s="1">
        <v>8873417</v>
      </c>
      <c r="Q211" s="4">
        <f t="shared" si="48"/>
        <v>51261512</v>
      </c>
      <c r="R211" s="1">
        <v>11884805</v>
      </c>
      <c r="S211" s="1">
        <v>12949485</v>
      </c>
      <c r="T211" s="4">
        <f t="shared" si="49"/>
        <v>24834290</v>
      </c>
      <c r="U211" s="1">
        <v>76095802</v>
      </c>
      <c r="V211" s="1">
        <v>2016</v>
      </c>
      <c r="W211" s="8">
        <v>35333698</v>
      </c>
      <c r="X211" s="1">
        <v>0.625</v>
      </c>
      <c r="Y211" s="1">
        <v>1</v>
      </c>
      <c r="Z211" s="1">
        <v>0</v>
      </c>
      <c r="AA211" s="1">
        <v>155270000</v>
      </c>
      <c r="AB211" s="1">
        <v>8.5536046886069431E-2</v>
      </c>
      <c r="AC211" s="1">
        <v>1.2717756166677401E-2</v>
      </c>
      <c r="AD211" s="1">
        <v>4.1010420557738132E-2</v>
      </c>
      <c r="AE211" s="1">
        <v>7.2887866297417406E-2</v>
      </c>
      <c r="AF211" s="2">
        <f t="shared" si="50"/>
        <v>0.11389828685515554</v>
      </c>
      <c r="AG211" s="2">
        <f>AF211+AC211</f>
        <v>0.12661604302183294</v>
      </c>
      <c r="AH211" s="1">
        <v>0.18570648547691118</v>
      </c>
      <c r="AI211" s="2">
        <f t="shared" si="51"/>
        <v>0.21215208990790235</v>
      </c>
      <c r="AJ211" s="1">
        <v>0.11257683390223482</v>
      </c>
      <c r="AK211" s="1">
        <v>0.16041920525536163</v>
      </c>
      <c r="AL211" s="4">
        <f t="shared" si="52"/>
        <v>0.27299603915759646</v>
      </c>
      <c r="AM211" s="1">
        <v>5.7148302956140914E-2</v>
      </c>
      <c r="AN211" s="4">
        <f t="shared" si="53"/>
        <v>0.33014434211373739</v>
      </c>
      <c r="AO211" s="1">
        <v>7.6542828621111614E-2</v>
      </c>
      <c r="AP211" s="1">
        <v>8.3399787466992975E-2</v>
      </c>
      <c r="AQ211" s="4">
        <f t="shared" si="54"/>
        <v>0.15994261608810459</v>
      </c>
      <c r="AR211" s="1">
        <v>0.49008695820184195</v>
      </c>
      <c r="AS211" s="1">
        <v>0.39785857538481356</v>
      </c>
      <c r="AT211" s="1">
        <v>0.11205446641334449</v>
      </c>
      <c r="AU211" s="1">
        <f t="shared" si="55"/>
        <v>0.22756294197204868</v>
      </c>
      <c r="AV211" s="1">
        <v>10</v>
      </c>
      <c r="AW211">
        <v>363</v>
      </c>
      <c r="AX211">
        <v>380</v>
      </c>
      <c r="AY211" s="6">
        <v>17</v>
      </c>
      <c r="AZ211" s="6">
        <v>18</v>
      </c>
      <c r="BA211" s="11">
        <f t="shared" si="56"/>
        <v>22.6875</v>
      </c>
      <c r="BB211">
        <f t="shared" si="57"/>
        <v>23.75</v>
      </c>
      <c r="BC211">
        <f t="shared" si="58"/>
        <v>-17</v>
      </c>
      <c r="BD211">
        <f t="shared" si="59"/>
        <v>-1.0625</v>
      </c>
      <c r="BE211" s="10">
        <v>7.5687644593455001</v>
      </c>
      <c r="BF211" s="6">
        <v>26.267859999999999</v>
      </c>
      <c r="BG211" s="6">
        <v>28.257300000000001</v>
      </c>
      <c r="BH211" s="6">
        <v>0.62482599999999999</v>
      </c>
      <c r="BI211" s="6">
        <v>0.53571400000000002</v>
      </c>
      <c r="BJ211" s="6"/>
      <c r="BK211" s="6" t="s">
        <v>80</v>
      </c>
      <c r="BL211" s="6" t="s">
        <v>68</v>
      </c>
      <c r="BM211" s="6" t="s">
        <v>92</v>
      </c>
      <c r="BN211" s="6" t="s">
        <v>70</v>
      </c>
    </row>
    <row r="212" spans="1:66">
      <c r="A212" s="1" t="s">
        <v>322</v>
      </c>
      <c r="B212" s="1">
        <v>2016</v>
      </c>
      <c r="C212" s="1" t="s">
        <v>120</v>
      </c>
      <c r="D212" s="1">
        <v>12430538</v>
      </c>
      <c r="E212" s="1">
        <v>13666191</v>
      </c>
      <c r="F212" s="1">
        <v>8596564</v>
      </c>
      <c r="G212" s="1">
        <v>7804564</v>
      </c>
      <c r="H212" s="2">
        <f t="shared" si="45"/>
        <v>16401128</v>
      </c>
      <c r="I212" s="2">
        <f>H212+E212</f>
        <v>30067319</v>
      </c>
      <c r="J212" s="1">
        <v>32879606</v>
      </c>
      <c r="K212" s="2">
        <f t="shared" si="46"/>
        <v>42497857</v>
      </c>
      <c r="L212" s="1">
        <v>75377463</v>
      </c>
      <c r="M212" s="1">
        <v>11885987</v>
      </c>
      <c r="N212" s="1">
        <v>16151461</v>
      </c>
      <c r="O212" s="4">
        <f t="shared" si="47"/>
        <v>28037448</v>
      </c>
      <c r="P212" s="1">
        <v>11877574</v>
      </c>
      <c r="Q212" s="4">
        <f t="shared" si="48"/>
        <v>39915022</v>
      </c>
      <c r="R212" s="1">
        <v>12925603</v>
      </c>
      <c r="S212" s="1">
        <v>16485260</v>
      </c>
      <c r="T212" s="4">
        <f t="shared" si="49"/>
        <v>29410863</v>
      </c>
      <c r="U212" s="1">
        <v>69325885</v>
      </c>
      <c r="V212" s="1">
        <v>2016</v>
      </c>
      <c r="W212" s="8">
        <v>30536041</v>
      </c>
      <c r="X212" s="1">
        <v>0.5</v>
      </c>
      <c r="Y212" s="1">
        <v>0</v>
      </c>
      <c r="Z212" s="1">
        <v>0</v>
      </c>
      <c r="AA212" s="1">
        <v>155270000</v>
      </c>
      <c r="AB212" s="1">
        <v>8.0057564242931673E-2</v>
      </c>
      <c r="AC212" s="1">
        <v>8.8015656598183806E-2</v>
      </c>
      <c r="AD212" s="1">
        <v>5.5365260513943457E-2</v>
      </c>
      <c r="AE212" s="1">
        <v>5.0264468345462741E-2</v>
      </c>
      <c r="AF212" s="2">
        <f t="shared" si="50"/>
        <v>0.10562972885940619</v>
      </c>
      <c r="AG212" s="2">
        <f>AF212+AC212</f>
        <v>0.19364538545759</v>
      </c>
      <c r="AH212" s="1">
        <v>0.21175762220647903</v>
      </c>
      <c r="AI212" s="2">
        <f t="shared" si="51"/>
        <v>0.27370294970052167</v>
      </c>
      <c r="AJ212" s="1">
        <v>7.6550441166999425E-2</v>
      </c>
      <c r="AK212" s="1">
        <v>0.10402177497262832</v>
      </c>
      <c r="AL212" s="4">
        <f t="shared" si="52"/>
        <v>0.18057221613962776</v>
      </c>
      <c r="AM212" s="1">
        <v>7.6496258130997613E-2</v>
      </c>
      <c r="AN212" s="4">
        <f t="shared" si="53"/>
        <v>0.2570684742706254</v>
      </c>
      <c r="AO212" s="1">
        <v>8.3245977973851998E-2</v>
      </c>
      <c r="AP212" s="1">
        <v>0.10617157210021254</v>
      </c>
      <c r="AQ212" s="4">
        <f t="shared" si="54"/>
        <v>0.18941755007406452</v>
      </c>
      <c r="AR212" s="1">
        <v>0.44648602434468987</v>
      </c>
      <c r="AS212" s="1">
        <v>0.4854605719070007</v>
      </c>
      <c r="AT212" s="1">
        <v>6.8053403748309371E-2</v>
      </c>
      <c r="AU212" s="1">
        <f t="shared" si="55"/>
        <v>0.19666413988536099</v>
      </c>
      <c r="AV212" s="1">
        <v>8</v>
      </c>
      <c r="AW212">
        <v>327</v>
      </c>
      <c r="AX212">
        <v>307</v>
      </c>
      <c r="AY212" s="6">
        <v>23</v>
      </c>
      <c r="AZ212" s="6">
        <v>6</v>
      </c>
      <c r="BA212" s="11">
        <f t="shared" si="56"/>
        <v>20.4375</v>
      </c>
      <c r="BB212">
        <f t="shared" si="57"/>
        <v>19.1875</v>
      </c>
      <c r="BC212">
        <f t="shared" si="58"/>
        <v>20</v>
      </c>
      <c r="BD212">
        <f t="shared" si="59"/>
        <v>1.25</v>
      </c>
      <c r="BE212" s="10">
        <v>8.6433653419401502</v>
      </c>
      <c r="BF212" s="6">
        <v>26.538460000000001</v>
      </c>
      <c r="BG212" s="6">
        <v>28.157810000000001</v>
      </c>
      <c r="BH212" s="6">
        <v>0.55718000000000001</v>
      </c>
      <c r="BI212" s="6">
        <v>0.72307699999999997</v>
      </c>
      <c r="BJ212" s="6"/>
      <c r="BK212" s="6" t="s">
        <v>80</v>
      </c>
      <c r="BL212" s="6" t="s">
        <v>74</v>
      </c>
      <c r="BM212" s="6" t="s">
        <v>81</v>
      </c>
      <c r="BN212" s="6" t="s">
        <v>75</v>
      </c>
    </row>
    <row r="213" spans="1:66">
      <c r="A213" s="1" t="s">
        <v>323</v>
      </c>
      <c r="B213" s="1">
        <v>2016</v>
      </c>
      <c r="C213" s="1" t="s">
        <v>122</v>
      </c>
      <c r="D213" s="1">
        <v>15259305</v>
      </c>
      <c r="E213" s="1">
        <v>5014925</v>
      </c>
      <c r="F213" s="1">
        <v>17034672</v>
      </c>
      <c r="G213" s="1">
        <v>12753868</v>
      </c>
      <c r="H213" s="2">
        <f t="shared" si="45"/>
        <v>29788540</v>
      </c>
      <c r="I213" s="2">
        <f>H213+E213</f>
        <v>34803465</v>
      </c>
      <c r="J213" s="1">
        <v>26847155</v>
      </c>
      <c r="K213" s="2">
        <f t="shared" si="46"/>
        <v>50062770</v>
      </c>
      <c r="L213" s="1">
        <v>76909925</v>
      </c>
      <c r="M213" s="1">
        <v>5119235</v>
      </c>
      <c r="N213" s="1">
        <v>14912527</v>
      </c>
      <c r="O213" s="4">
        <f t="shared" si="47"/>
        <v>20031762</v>
      </c>
      <c r="P213" s="1">
        <v>13450124</v>
      </c>
      <c r="Q213" s="4">
        <f t="shared" si="48"/>
        <v>33481886</v>
      </c>
      <c r="R213" s="1">
        <v>12755434</v>
      </c>
      <c r="S213" s="1">
        <v>4775449</v>
      </c>
      <c r="T213" s="4">
        <f t="shared" si="49"/>
        <v>17530883</v>
      </c>
      <c r="U213" s="1">
        <v>51012769</v>
      </c>
      <c r="V213" s="1">
        <v>2016</v>
      </c>
      <c r="W213" s="8">
        <v>12528974</v>
      </c>
      <c r="X213" s="1">
        <v>0.875</v>
      </c>
      <c r="Y213" s="1">
        <v>1</v>
      </c>
      <c r="Z213" s="1">
        <v>1</v>
      </c>
      <c r="AA213" s="1">
        <v>155270000</v>
      </c>
      <c r="AB213" s="1">
        <v>9.8275938687447675E-2</v>
      </c>
      <c r="AC213" s="1">
        <v>3.2298093643330972E-2</v>
      </c>
      <c r="AD213" s="1">
        <v>0.10971000193211825</v>
      </c>
      <c r="AE213" s="1">
        <v>8.2139936884137316E-2</v>
      </c>
      <c r="AF213" s="2">
        <f t="shared" si="50"/>
        <v>0.19184993881625556</v>
      </c>
      <c r="AG213" s="2">
        <f>AF213+AC213</f>
        <v>0.22414803245958653</v>
      </c>
      <c r="AH213" s="1">
        <v>0.17290626006311585</v>
      </c>
      <c r="AI213" s="2">
        <f t="shared" si="51"/>
        <v>0.32242397114703419</v>
      </c>
      <c r="AJ213" s="1">
        <v>3.2969891157338831E-2</v>
      </c>
      <c r="AK213" s="1">
        <v>9.6042551684163077E-2</v>
      </c>
      <c r="AL213" s="4">
        <f t="shared" si="52"/>
        <v>0.1290124428415019</v>
      </c>
      <c r="AM213" s="1">
        <v>8.6624099954917239E-2</v>
      </c>
      <c r="AN213" s="4">
        <f t="shared" si="53"/>
        <v>0.21563654279641914</v>
      </c>
      <c r="AO213" s="1">
        <v>8.2150022541379528E-2</v>
      </c>
      <c r="AP213" s="1">
        <v>3.0755773813357378E-2</v>
      </c>
      <c r="AQ213" s="4">
        <f t="shared" si="54"/>
        <v>0.11290579635473691</v>
      </c>
      <c r="AR213" s="1">
        <v>0.32854233915115605</v>
      </c>
      <c r="AS213" s="1">
        <v>0.49533023121015007</v>
      </c>
      <c r="AT213" s="1">
        <v>0.17612742963869388</v>
      </c>
      <c r="AU213" s="1">
        <f t="shared" si="55"/>
        <v>8.0691530881689955E-2</v>
      </c>
      <c r="AV213" s="1">
        <v>14</v>
      </c>
      <c r="AW213">
        <v>441</v>
      </c>
      <c r="AX213">
        <v>250</v>
      </c>
      <c r="AY213" s="6">
        <v>3</v>
      </c>
      <c r="AZ213" s="6">
        <v>1</v>
      </c>
      <c r="BA213" s="11">
        <f t="shared" si="56"/>
        <v>27.5625</v>
      </c>
      <c r="BB213">
        <f t="shared" si="57"/>
        <v>15.625</v>
      </c>
      <c r="BC213">
        <f t="shared" si="58"/>
        <v>191</v>
      </c>
      <c r="BD213">
        <f t="shared" si="59"/>
        <v>11.9375</v>
      </c>
      <c r="BE213" s="10">
        <v>13.6097640155532</v>
      </c>
      <c r="BF213" s="6">
        <v>26.303570000000001</v>
      </c>
      <c r="BG213" s="6">
        <v>28.949449999999999</v>
      </c>
      <c r="BH213" s="6">
        <v>0.54983099999999996</v>
      </c>
      <c r="BI213" s="6">
        <v>0.66071400000000002</v>
      </c>
      <c r="BJ213" s="6"/>
      <c r="BK213" s="6" t="s">
        <v>67</v>
      </c>
      <c r="BL213" s="6" t="s">
        <v>74</v>
      </c>
      <c r="BM213" s="6" t="s">
        <v>102</v>
      </c>
      <c r="BN213" s="6" t="s">
        <v>75</v>
      </c>
    </row>
    <row r="214" spans="1:66">
      <c r="A214" s="1" t="s">
        <v>324</v>
      </c>
      <c r="B214" s="1">
        <v>2016</v>
      </c>
      <c r="C214" s="1" t="s">
        <v>124</v>
      </c>
      <c r="D214" s="1">
        <v>18617300</v>
      </c>
      <c r="E214" s="1">
        <v>4961190</v>
      </c>
      <c r="F214" s="1">
        <v>5224319</v>
      </c>
      <c r="G214" s="1">
        <v>5726719</v>
      </c>
      <c r="H214" s="2">
        <f t="shared" si="45"/>
        <v>10951038</v>
      </c>
      <c r="I214" s="2">
        <f>H214+E214</f>
        <v>15912228</v>
      </c>
      <c r="J214" s="1">
        <v>19176356</v>
      </c>
      <c r="K214" s="2">
        <f t="shared" si="46"/>
        <v>34529528</v>
      </c>
      <c r="L214" s="1">
        <v>53705884</v>
      </c>
      <c r="M214" s="1">
        <v>5140464</v>
      </c>
      <c r="N214" s="1">
        <v>9660901</v>
      </c>
      <c r="O214" s="4">
        <f t="shared" si="47"/>
        <v>14801365</v>
      </c>
      <c r="P214" s="1">
        <v>9598215</v>
      </c>
      <c r="Q214" s="4">
        <f t="shared" si="48"/>
        <v>24399580</v>
      </c>
      <c r="R214" s="1">
        <v>16579686</v>
      </c>
      <c r="S214" s="1">
        <v>4828050</v>
      </c>
      <c r="T214" s="4">
        <f t="shared" si="49"/>
        <v>21407736</v>
      </c>
      <c r="U214" s="1">
        <v>45807316</v>
      </c>
      <c r="V214" s="1">
        <v>2016</v>
      </c>
      <c r="W214" s="8">
        <v>17817713</v>
      </c>
      <c r="X214" s="1">
        <v>0.438</v>
      </c>
      <c r="Y214" s="1">
        <v>0</v>
      </c>
      <c r="Z214" s="1">
        <v>0</v>
      </c>
      <c r="AA214" s="1">
        <v>155270000</v>
      </c>
      <c r="AB214" s="1">
        <v>0.11990275004830296</v>
      </c>
      <c r="AC214" s="1">
        <v>3.1952019063566692E-2</v>
      </c>
      <c r="AD214" s="1">
        <v>3.3646673536420431E-2</v>
      </c>
      <c r="AE214" s="1">
        <v>3.688232755844658E-2</v>
      </c>
      <c r="AF214" s="2">
        <f t="shared" si="50"/>
        <v>7.0529001094867011E-2</v>
      </c>
      <c r="AG214" s="2">
        <f>AF214+AC214</f>
        <v>0.1024810201584337</v>
      </c>
      <c r="AH214" s="1">
        <v>0.12350329104141174</v>
      </c>
      <c r="AI214" s="2">
        <f t="shared" si="51"/>
        <v>0.22238377020673666</v>
      </c>
      <c r="AJ214" s="1">
        <v>3.3106614284794229E-2</v>
      </c>
      <c r="AK214" s="1">
        <v>6.2220010304630646E-2</v>
      </c>
      <c r="AL214" s="4">
        <f t="shared" si="52"/>
        <v>9.5326624589424869E-2</v>
      </c>
      <c r="AM214" s="1">
        <v>6.1816287756810716E-2</v>
      </c>
      <c r="AN214" s="4">
        <f t="shared" si="53"/>
        <v>0.15714291234623559</v>
      </c>
      <c r="AO214" s="1">
        <v>0.10677971275842081</v>
      </c>
      <c r="AP214" s="1">
        <v>3.1094544986153154E-2</v>
      </c>
      <c r="AQ214" s="4">
        <f t="shared" si="54"/>
        <v>0.13787425774457396</v>
      </c>
      <c r="AR214" s="1">
        <v>0.29501717009080958</v>
      </c>
      <c r="AS214" s="1">
        <v>0.34588706124814839</v>
      </c>
      <c r="AT214" s="1">
        <v>0.35909576866104209</v>
      </c>
      <c r="AU214" s="1">
        <f t="shared" si="55"/>
        <v>0.11475309460939009</v>
      </c>
      <c r="AV214" s="1">
        <v>7</v>
      </c>
      <c r="AW214">
        <v>469</v>
      </c>
      <c r="AX214">
        <v>454</v>
      </c>
      <c r="AY214" s="6">
        <v>2</v>
      </c>
      <c r="AZ214" s="6">
        <v>31</v>
      </c>
      <c r="BA214" s="11">
        <f t="shared" si="56"/>
        <v>29.3125</v>
      </c>
      <c r="BB214">
        <f t="shared" si="57"/>
        <v>28.375</v>
      </c>
      <c r="BC214">
        <f t="shared" si="58"/>
        <v>15</v>
      </c>
      <c r="BD214">
        <f t="shared" si="59"/>
        <v>0.9375</v>
      </c>
      <c r="BE214" s="10">
        <v>8.4981490064543799</v>
      </c>
      <c r="BF214" s="6">
        <v>26.838239999999999</v>
      </c>
      <c r="BG214" s="6">
        <v>29.24963</v>
      </c>
      <c r="BH214" s="6">
        <v>0.59130700000000003</v>
      </c>
      <c r="BI214" s="6">
        <v>0.5</v>
      </c>
      <c r="BJ214" s="6"/>
      <c r="BK214" s="6" t="s">
        <v>67</v>
      </c>
      <c r="BL214" s="6" t="s">
        <v>74</v>
      </c>
      <c r="BM214" s="6" t="s">
        <v>102</v>
      </c>
      <c r="BN214" s="6" t="s">
        <v>70</v>
      </c>
    </row>
    <row r="215" spans="1:66">
      <c r="A215" s="1" t="s">
        <v>325</v>
      </c>
      <c r="B215" s="1">
        <v>2016</v>
      </c>
      <c r="C215" s="1" t="s">
        <v>126</v>
      </c>
      <c r="D215" s="1">
        <v>25595300</v>
      </c>
      <c r="E215" s="1">
        <v>9665597</v>
      </c>
      <c r="F215" s="1">
        <v>15930551</v>
      </c>
      <c r="G215" s="1">
        <v>3014714</v>
      </c>
      <c r="H215" s="2">
        <f t="shared" si="45"/>
        <v>18945265</v>
      </c>
      <c r="I215" s="2">
        <f>H215+E215</f>
        <v>28610862</v>
      </c>
      <c r="J215" s="1">
        <v>13382316</v>
      </c>
      <c r="K215" s="2">
        <f t="shared" si="46"/>
        <v>54206162</v>
      </c>
      <c r="L215" s="1">
        <v>67588478</v>
      </c>
      <c r="M215" s="1">
        <v>9138463</v>
      </c>
      <c r="N215" s="1">
        <v>24753166</v>
      </c>
      <c r="O215" s="4">
        <f t="shared" si="47"/>
        <v>33891629</v>
      </c>
      <c r="P215" s="1">
        <v>12393270</v>
      </c>
      <c r="Q215" s="4">
        <f t="shared" si="48"/>
        <v>46284899</v>
      </c>
      <c r="R215" s="1">
        <v>3598913</v>
      </c>
      <c r="S215" s="1">
        <v>21773449</v>
      </c>
      <c r="T215" s="4">
        <f t="shared" si="49"/>
        <v>25372362</v>
      </c>
      <c r="U215" s="1">
        <v>71657261</v>
      </c>
      <c r="V215" s="1">
        <v>2016</v>
      </c>
      <c r="W215" s="8">
        <v>12355327</v>
      </c>
      <c r="X215" s="1">
        <v>0.68799999999999994</v>
      </c>
      <c r="Y215" s="1">
        <v>1</v>
      </c>
      <c r="Z215" s="1">
        <v>0</v>
      </c>
      <c r="AA215" s="1">
        <v>155270000</v>
      </c>
      <c r="AB215" s="1">
        <v>0.16484382044181103</v>
      </c>
      <c r="AC215" s="1">
        <v>6.2250254395569006E-2</v>
      </c>
      <c r="AD215" s="1">
        <v>0.10259902750048303</v>
      </c>
      <c r="AE215" s="1">
        <v>1.9415946415920655E-2</v>
      </c>
      <c r="AF215" s="2">
        <f t="shared" si="50"/>
        <v>0.12201497391640367</v>
      </c>
      <c r="AG215" s="2">
        <f>AF215+AC215</f>
        <v>0.18426522831197267</v>
      </c>
      <c r="AH215" s="1">
        <v>8.6187389708250142E-2</v>
      </c>
      <c r="AI215" s="2">
        <f t="shared" si="51"/>
        <v>0.34910904875378374</v>
      </c>
      <c r="AJ215" s="1">
        <v>5.8855303664584274E-2</v>
      </c>
      <c r="AK215" s="1">
        <v>0.15942014555290784</v>
      </c>
      <c r="AL215" s="4">
        <f t="shared" si="52"/>
        <v>0.21827544921749212</v>
      </c>
      <c r="AM215" s="1">
        <v>7.9817543633670385E-2</v>
      </c>
      <c r="AN215" s="4">
        <f t="shared" si="53"/>
        <v>0.29809299285116253</v>
      </c>
      <c r="AO215" s="1">
        <v>2.3178418239196238E-2</v>
      </c>
      <c r="AP215" s="1">
        <v>0.14022959361112899</v>
      </c>
      <c r="AQ215" s="4">
        <f t="shared" si="54"/>
        <v>0.16340801185032522</v>
      </c>
      <c r="AR215" s="1">
        <v>0.46150100470148775</v>
      </c>
      <c r="AS215" s="1">
        <v>0.43529643846203386</v>
      </c>
      <c r="AT215" s="1">
        <v>0.10320255683647839</v>
      </c>
      <c r="AU215" s="1">
        <f t="shared" si="55"/>
        <v>7.9573175758356415E-2</v>
      </c>
      <c r="AV215" s="1">
        <v>11</v>
      </c>
      <c r="AW215">
        <v>310</v>
      </c>
      <c r="AX215">
        <v>284</v>
      </c>
      <c r="AY215" s="6">
        <v>26</v>
      </c>
      <c r="AZ215" s="6">
        <v>2</v>
      </c>
      <c r="BA215" s="11">
        <f t="shared" si="56"/>
        <v>19.375</v>
      </c>
      <c r="BB215">
        <f t="shared" si="57"/>
        <v>17.75</v>
      </c>
      <c r="BC215">
        <f t="shared" si="58"/>
        <v>26</v>
      </c>
      <c r="BD215">
        <f t="shared" si="59"/>
        <v>1.625</v>
      </c>
      <c r="BE215" s="10">
        <v>8.8176249445230592</v>
      </c>
      <c r="BF215" s="6">
        <v>26.28125</v>
      </c>
      <c r="BG215" s="6">
        <v>28.415489999999998</v>
      </c>
      <c r="BH215" s="6">
        <v>0.62589399999999995</v>
      </c>
      <c r="BI215" s="6">
        <v>0.578125</v>
      </c>
      <c r="BJ215" s="6"/>
      <c r="BK215" s="6" t="s">
        <v>67</v>
      </c>
      <c r="BL215" s="6" t="s">
        <v>96</v>
      </c>
      <c r="BM215" s="6" t="s">
        <v>70</v>
      </c>
      <c r="BN215" s="6" t="s">
        <v>70</v>
      </c>
    </row>
    <row r="216" spans="1:66">
      <c r="A216" s="1" t="s">
        <v>326</v>
      </c>
      <c r="B216" s="1">
        <v>2016</v>
      </c>
      <c r="C216" s="1" t="s">
        <v>128</v>
      </c>
      <c r="D216" s="1">
        <v>10107898</v>
      </c>
      <c r="E216" s="1">
        <v>5337110</v>
      </c>
      <c r="F216" s="1">
        <v>20760335</v>
      </c>
      <c r="G216" s="1">
        <v>2530923</v>
      </c>
      <c r="H216" s="2">
        <f t="shared" si="45"/>
        <v>23291258</v>
      </c>
      <c r="I216" s="2">
        <f>H216+E216</f>
        <v>28628368</v>
      </c>
      <c r="J216" s="1">
        <v>27844419</v>
      </c>
      <c r="K216" s="2">
        <f t="shared" si="46"/>
        <v>38736266</v>
      </c>
      <c r="L216" s="1">
        <v>66580685</v>
      </c>
      <c r="M216" s="1">
        <v>21908891</v>
      </c>
      <c r="N216" s="1">
        <v>2652225</v>
      </c>
      <c r="O216" s="4">
        <f t="shared" si="47"/>
        <v>24561116</v>
      </c>
      <c r="P216" s="1">
        <v>10859069</v>
      </c>
      <c r="Q216" s="4">
        <f t="shared" si="48"/>
        <v>35420185</v>
      </c>
      <c r="R216" s="1">
        <v>7858962</v>
      </c>
      <c r="S216" s="1">
        <v>24531901</v>
      </c>
      <c r="T216" s="4">
        <f t="shared" si="49"/>
        <v>32390863</v>
      </c>
      <c r="U216" s="1">
        <v>67811048</v>
      </c>
      <c r="V216" s="1">
        <v>2016</v>
      </c>
      <c r="W216" s="8">
        <v>43833352</v>
      </c>
      <c r="X216" s="1">
        <v>0.313</v>
      </c>
      <c r="Y216" s="1">
        <v>0</v>
      </c>
      <c r="Z216" s="1">
        <v>0</v>
      </c>
      <c r="AA216" s="1">
        <v>155270000</v>
      </c>
      <c r="AB216" s="1">
        <v>6.5098847169446764E-2</v>
      </c>
      <c r="AC216" s="1">
        <v>3.4373092033232432E-2</v>
      </c>
      <c r="AD216" s="1">
        <v>0.13370474013009595</v>
      </c>
      <c r="AE216" s="1">
        <v>1.6300141688671346E-2</v>
      </c>
      <c r="AF216" s="2">
        <f t="shared" si="50"/>
        <v>0.15000488181876731</v>
      </c>
      <c r="AG216" s="2">
        <f>AF216+AC216</f>
        <v>0.18437797385199975</v>
      </c>
      <c r="AH216" s="1">
        <v>0.17932903329683778</v>
      </c>
      <c r="AI216" s="2">
        <f t="shared" si="51"/>
        <v>0.24947682102144647</v>
      </c>
      <c r="AJ216" s="1">
        <v>0.14110189347588073</v>
      </c>
      <c r="AK216" s="1">
        <v>1.7081374380112063E-2</v>
      </c>
      <c r="AL216" s="4">
        <f t="shared" si="52"/>
        <v>0.15818326785599279</v>
      </c>
      <c r="AM216" s="1">
        <v>6.9936684485090481E-2</v>
      </c>
      <c r="AN216" s="4">
        <f t="shared" si="53"/>
        <v>0.22811995234108329</v>
      </c>
      <c r="AO216" s="1">
        <v>5.0614812906549879E-2</v>
      </c>
      <c r="AP216" s="1">
        <v>0.15799511174083855</v>
      </c>
      <c r="AQ216" s="4">
        <f t="shared" si="54"/>
        <v>0.20860992464738842</v>
      </c>
      <c r="AR216" s="1">
        <v>0.43672987698847171</v>
      </c>
      <c r="AS216" s="1">
        <v>0.42880585431828427</v>
      </c>
      <c r="AT216" s="1">
        <v>0.13446426869324402</v>
      </c>
      <c r="AU216" s="1">
        <f t="shared" si="55"/>
        <v>0.28230406388870999</v>
      </c>
      <c r="AV216" s="1">
        <v>5</v>
      </c>
      <c r="AW216">
        <v>275</v>
      </c>
      <c r="AX216">
        <v>409</v>
      </c>
      <c r="AY216" s="6">
        <v>30</v>
      </c>
      <c r="AZ216" s="6">
        <v>28</v>
      </c>
      <c r="BA216" s="11">
        <f t="shared" si="56"/>
        <v>17.1875</v>
      </c>
      <c r="BB216">
        <f t="shared" si="57"/>
        <v>25.5625</v>
      </c>
      <c r="BC216">
        <f t="shared" si="58"/>
        <v>-134</v>
      </c>
      <c r="BD216">
        <f t="shared" si="59"/>
        <v>-8.375</v>
      </c>
      <c r="BE216" s="10">
        <v>4.1707022089786703</v>
      </c>
      <c r="BF216" s="6">
        <v>25.85915</v>
      </c>
      <c r="BG216" s="6">
        <v>28.831980000000001</v>
      </c>
      <c r="BH216" s="6">
        <v>0.663358</v>
      </c>
      <c r="BI216" s="6">
        <v>0.49295800000000001</v>
      </c>
      <c r="BJ216" s="6"/>
      <c r="BK216" s="6" t="s">
        <v>67</v>
      </c>
      <c r="BL216" s="6" t="s">
        <v>96</v>
      </c>
      <c r="BM216" s="6" t="s">
        <v>70</v>
      </c>
      <c r="BN216" s="6" t="s">
        <v>70</v>
      </c>
    </row>
    <row r="217" spans="1:66">
      <c r="A217" s="1" t="s">
        <v>327</v>
      </c>
      <c r="B217" s="1">
        <v>2016</v>
      </c>
      <c r="C217" s="1" t="s">
        <v>112</v>
      </c>
      <c r="D217" s="1">
        <v>4623009</v>
      </c>
      <c r="E217" s="1">
        <v>2818849</v>
      </c>
      <c r="F217" s="1">
        <v>19361975</v>
      </c>
      <c r="G217" s="1">
        <v>5870639</v>
      </c>
      <c r="H217" s="2">
        <f>SUM(F217:G217)</f>
        <v>25232614</v>
      </c>
      <c r="I217" s="2">
        <f>H217+E217</f>
        <v>28051463</v>
      </c>
      <c r="J217" s="1">
        <v>36972041</v>
      </c>
      <c r="K217" s="2">
        <f>SUM(D217:G217)</f>
        <v>32674472</v>
      </c>
      <c r="L217" s="1">
        <v>69646513</v>
      </c>
      <c r="M217" s="1">
        <v>10767380</v>
      </c>
      <c r="N217" s="1">
        <v>19443717</v>
      </c>
      <c r="O217" s="4">
        <f>SUM(M217:N217)</f>
        <v>30211097</v>
      </c>
      <c r="P217" s="1">
        <v>7072959</v>
      </c>
      <c r="Q217" s="4">
        <f>SUM(O217:P217)</f>
        <v>37284056</v>
      </c>
      <c r="R217" s="1">
        <v>12697085</v>
      </c>
      <c r="S217" s="1">
        <v>20847900</v>
      </c>
      <c r="T217" s="4">
        <f>SUM(R217:S217)</f>
        <v>33544985</v>
      </c>
      <c r="U217" s="1">
        <v>70829041</v>
      </c>
      <c r="V217" s="1">
        <v>2016</v>
      </c>
      <c r="W217" s="8">
        <v>12390003</v>
      </c>
      <c r="X217" s="1">
        <v>0.75</v>
      </c>
      <c r="Y217" s="1">
        <v>1</v>
      </c>
      <c r="Z217" s="1">
        <v>0</v>
      </c>
      <c r="AA217" s="1">
        <v>155270000</v>
      </c>
      <c r="AB217" s="1">
        <v>2.9774000128807883E-2</v>
      </c>
      <c r="AC217" s="1">
        <v>1.8154498615315259E-2</v>
      </c>
      <c r="AD217" s="1">
        <v>0.12469875056353449</v>
      </c>
      <c r="AE217" s="1">
        <v>3.7809229084819991E-2</v>
      </c>
      <c r="AF217" s="2">
        <f>SUM(AD217:AE217)</f>
        <v>0.16250797964835448</v>
      </c>
      <c r="AG217" s="2">
        <f>AF217+AC217</f>
        <v>0.18066247826366974</v>
      </c>
      <c r="AH217" s="1">
        <v>0.23811451664841887</v>
      </c>
      <c r="AI217" s="2">
        <f>SUM(AB217:AE217)</f>
        <v>0.21043647839247762</v>
      </c>
      <c r="AJ217" s="1">
        <v>6.9346171185676569E-2</v>
      </c>
      <c r="AK217" s="1">
        <v>0.12522520126231726</v>
      </c>
      <c r="AL217" s="4">
        <f>SUM(AJ217:AK217)</f>
        <v>0.19457137244799383</v>
      </c>
      <c r="AM217" s="1">
        <v>4.5552643781799448E-2</v>
      </c>
      <c r="AN217" s="4">
        <f>SUM(AL217:AM217)</f>
        <v>0.24012401622979329</v>
      </c>
      <c r="AO217" s="1">
        <v>8.1774231982997353E-2</v>
      </c>
      <c r="AP217" s="1">
        <v>0.13426869324402654</v>
      </c>
      <c r="AQ217" s="4">
        <f>SUM(AO217:AP217)</f>
        <v>0.2160429252270239</v>
      </c>
      <c r="AR217" s="1">
        <v>0.45616694145681713</v>
      </c>
      <c r="AS217" s="1">
        <v>0.44855099504089652</v>
      </c>
      <c r="AT217" s="1">
        <v>9.5282063502286407E-2</v>
      </c>
      <c r="AU217" s="1">
        <f t="shared" si="55"/>
        <v>7.9796502865975394E-2</v>
      </c>
      <c r="AV217" s="1">
        <v>12</v>
      </c>
      <c r="AW217">
        <v>416</v>
      </c>
      <c r="AX217">
        <v>385</v>
      </c>
      <c r="AY217" s="6">
        <v>7</v>
      </c>
      <c r="AZ217" s="6">
        <v>20</v>
      </c>
      <c r="BA217" s="11">
        <f t="shared" si="56"/>
        <v>26</v>
      </c>
      <c r="BB217">
        <f t="shared" si="57"/>
        <v>24.0625</v>
      </c>
      <c r="BC217">
        <f t="shared" si="58"/>
        <v>31</v>
      </c>
      <c r="BD217">
        <f t="shared" si="59"/>
        <v>1.9375</v>
      </c>
      <c r="BE217" s="10">
        <v>8.9628412800088206</v>
      </c>
      <c r="BF217" s="6">
        <v>26.147539999999999</v>
      </c>
      <c r="BG217" s="6">
        <v>27.866540000000001</v>
      </c>
      <c r="BH217" s="6">
        <v>0.58432499999999998</v>
      </c>
      <c r="BI217" s="6">
        <v>0.63934400000000002</v>
      </c>
      <c r="BJ217" s="6"/>
      <c r="BK217" s="6" t="s">
        <v>80</v>
      </c>
      <c r="BL217" s="6" t="s">
        <v>74</v>
      </c>
      <c r="BM217" s="6" t="s">
        <v>81</v>
      </c>
      <c r="BN217" s="6" t="s">
        <v>75</v>
      </c>
    </row>
    <row r="218" spans="1:66">
      <c r="A218" s="1" t="s">
        <v>328</v>
      </c>
      <c r="B218" s="1">
        <v>2016</v>
      </c>
      <c r="C218" s="1" t="s">
        <v>130</v>
      </c>
      <c r="D218" s="1">
        <v>9960643</v>
      </c>
      <c r="E218" s="1">
        <v>10317028</v>
      </c>
      <c r="F218" s="1">
        <v>4931355</v>
      </c>
      <c r="G218" s="1">
        <v>6394996</v>
      </c>
      <c r="H218" s="2">
        <f t="shared" si="45"/>
        <v>11326351</v>
      </c>
      <c r="I218" s="2">
        <f>H218+E218</f>
        <v>21643379</v>
      </c>
      <c r="J218" s="1">
        <v>33687976</v>
      </c>
      <c r="K218" s="2">
        <f t="shared" si="46"/>
        <v>31604022</v>
      </c>
      <c r="L218" s="1">
        <v>65291998</v>
      </c>
      <c r="M218" s="1">
        <v>9762192</v>
      </c>
      <c r="N218" s="1">
        <v>19854836</v>
      </c>
      <c r="O218" s="4">
        <f t="shared" si="47"/>
        <v>29617028</v>
      </c>
      <c r="P218" s="1">
        <v>12105117</v>
      </c>
      <c r="Q218" s="4">
        <f t="shared" si="48"/>
        <v>41722145</v>
      </c>
      <c r="R218" s="1">
        <v>11531668</v>
      </c>
      <c r="S218" s="1">
        <v>7119979</v>
      </c>
      <c r="T218" s="4">
        <f t="shared" si="49"/>
        <v>18651647</v>
      </c>
      <c r="U218" s="1">
        <v>60373792</v>
      </c>
      <c r="V218" s="1">
        <v>2016</v>
      </c>
      <c r="W218" s="8">
        <v>8757519</v>
      </c>
      <c r="X218" s="1">
        <v>0.438</v>
      </c>
      <c r="Y218" s="1">
        <v>0</v>
      </c>
      <c r="Z218" s="1">
        <v>0</v>
      </c>
      <c r="AA218" s="1">
        <v>155270000</v>
      </c>
      <c r="AB218" s="1">
        <v>6.4150466928576025E-2</v>
      </c>
      <c r="AC218" s="1">
        <v>6.644572679848007E-2</v>
      </c>
      <c r="AD218" s="1">
        <v>3.1759869904038125E-2</v>
      </c>
      <c r="AE218" s="1">
        <v>4.1186294841244281E-2</v>
      </c>
      <c r="AF218" s="2">
        <f t="shared" si="50"/>
        <v>7.2946164745282399E-2</v>
      </c>
      <c r="AG218" s="2">
        <f>AF218+AC218</f>
        <v>0.13939189154376247</v>
      </c>
      <c r="AH218" s="1">
        <v>0.21696384362722998</v>
      </c>
      <c r="AI218" s="2">
        <f t="shared" si="51"/>
        <v>0.20354235847233851</v>
      </c>
      <c r="AJ218" s="1">
        <v>6.2872364268693248E-2</v>
      </c>
      <c r="AK218" s="1">
        <v>0.12787296966574355</v>
      </c>
      <c r="AL218" s="4">
        <f t="shared" si="52"/>
        <v>0.19074533393443679</v>
      </c>
      <c r="AM218" s="1">
        <v>7.7961724737553945E-2</v>
      </c>
      <c r="AN218" s="4">
        <f t="shared" si="53"/>
        <v>0.26870705867199074</v>
      </c>
      <c r="AO218" s="1">
        <v>7.4268487151413667E-2</v>
      </c>
      <c r="AP218" s="1">
        <v>4.5855471114832229E-2</v>
      </c>
      <c r="AQ218" s="4">
        <f t="shared" si="54"/>
        <v>0.12012395826624589</v>
      </c>
      <c r="AR218" s="1">
        <v>0.38883101693823663</v>
      </c>
      <c r="AS218" s="1">
        <v>0.42050620209956852</v>
      </c>
      <c r="AT218" s="1">
        <v>0.1906627809621948</v>
      </c>
      <c r="AU218" s="1">
        <f t="shared" si="55"/>
        <v>5.6401874154698266E-2</v>
      </c>
      <c r="AV218" s="1">
        <v>7</v>
      </c>
      <c r="AW218">
        <v>367</v>
      </c>
      <c r="AX218">
        <v>331</v>
      </c>
      <c r="AY218" s="6">
        <v>16</v>
      </c>
      <c r="AZ218" s="6">
        <v>12</v>
      </c>
      <c r="BA218" s="11">
        <f t="shared" si="56"/>
        <v>22.9375</v>
      </c>
      <c r="BB218">
        <f t="shared" si="57"/>
        <v>20.6875</v>
      </c>
      <c r="BC218">
        <f t="shared" si="58"/>
        <v>36</v>
      </c>
      <c r="BD218">
        <f t="shared" si="59"/>
        <v>2.25</v>
      </c>
      <c r="BE218" s="10">
        <v>9.1080576154945803</v>
      </c>
      <c r="BF218" s="6">
        <v>26.483329999999999</v>
      </c>
      <c r="BG218" s="6">
        <v>28.248740000000002</v>
      </c>
      <c r="BH218" s="6">
        <v>0.52398500000000003</v>
      </c>
      <c r="BI218" s="6">
        <v>0.56666700000000003</v>
      </c>
      <c r="BJ218" s="6"/>
      <c r="BK218" s="6" t="s">
        <v>80</v>
      </c>
      <c r="BL218" s="6" t="s">
        <v>74</v>
      </c>
      <c r="BM218" s="6" t="s">
        <v>81</v>
      </c>
      <c r="BN218" s="6" t="s">
        <v>75</v>
      </c>
    </row>
    <row r="219" spans="1:66">
      <c r="A219" s="1" t="s">
        <v>329</v>
      </c>
      <c r="B219" s="1">
        <v>2016</v>
      </c>
      <c r="C219" s="1" t="s">
        <v>132</v>
      </c>
      <c r="D219" s="1">
        <v>25334805</v>
      </c>
      <c r="E219" s="1">
        <v>4433346</v>
      </c>
      <c r="F219" s="1">
        <v>16885326</v>
      </c>
      <c r="G219" s="1">
        <v>4133728</v>
      </c>
      <c r="H219" s="2">
        <f t="shared" si="45"/>
        <v>21019054</v>
      </c>
      <c r="I219" s="2">
        <f>H219+E219</f>
        <v>25452400</v>
      </c>
      <c r="J219" s="1">
        <v>28392364</v>
      </c>
      <c r="K219" s="2">
        <f t="shared" si="46"/>
        <v>50787205</v>
      </c>
      <c r="L219" s="1">
        <v>79179569</v>
      </c>
      <c r="M219" s="1">
        <v>14224578</v>
      </c>
      <c r="N219" s="1">
        <v>10044940</v>
      </c>
      <c r="O219" s="4">
        <f t="shared" si="47"/>
        <v>24269518</v>
      </c>
      <c r="P219" s="1">
        <v>20449321</v>
      </c>
      <c r="Q219" s="4">
        <f t="shared" si="48"/>
        <v>44718839</v>
      </c>
      <c r="R219" s="1">
        <v>7261255</v>
      </c>
      <c r="S219" s="1">
        <v>6603699</v>
      </c>
      <c r="T219" s="4">
        <f t="shared" si="49"/>
        <v>13864954</v>
      </c>
      <c r="U219" s="1">
        <v>58583793</v>
      </c>
      <c r="V219" s="1">
        <v>2016</v>
      </c>
      <c r="W219" s="8">
        <v>19556052</v>
      </c>
      <c r="X219" s="1">
        <v>0.68799999999999994</v>
      </c>
      <c r="Y219" s="1">
        <v>1</v>
      </c>
      <c r="Z219" s="1">
        <v>0</v>
      </c>
      <c r="AA219" s="1">
        <v>155270000</v>
      </c>
      <c r="AB219" s="1">
        <v>0.16316612996715399</v>
      </c>
      <c r="AC219" s="1">
        <v>2.8552495652733947E-2</v>
      </c>
      <c r="AD219" s="1">
        <v>0.10874815482707542</v>
      </c>
      <c r="AE219" s="1">
        <v>2.6622837637663425E-2</v>
      </c>
      <c r="AF219" s="2">
        <f t="shared" si="50"/>
        <v>0.13537099246473885</v>
      </c>
      <c r="AG219" s="2">
        <f>AF219+AC219</f>
        <v>0.16392348811747282</v>
      </c>
      <c r="AH219" s="1">
        <v>0.18285801507052232</v>
      </c>
      <c r="AI219" s="2">
        <f t="shared" si="51"/>
        <v>0.32708961808462683</v>
      </c>
      <c r="AJ219" s="1">
        <v>9.1611888967604818E-2</v>
      </c>
      <c r="AK219" s="1">
        <v>6.4693372834417465E-2</v>
      </c>
      <c r="AL219" s="4">
        <f t="shared" si="52"/>
        <v>0.15630526180202228</v>
      </c>
      <c r="AM219" s="1">
        <v>0.13170168738326785</v>
      </c>
      <c r="AN219" s="4">
        <f t="shared" si="53"/>
        <v>0.28800694918529013</v>
      </c>
      <c r="AO219" s="1">
        <v>4.6765344239067433E-2</v>
      </c>
      <c r="AP219" s="1">
        <v>4.2530424421974626E-2</v>
      </c>
      <c r="AQ219" s="4">
        <f t="shared" si="54"/>
        <v>8.9295768661042052E-2</v>
      </c>
      <c r="AR219" s="1">
        <v>0.37730271784633218</v>
      </c>
      <c r="AS219" s="1">
        <v>0.50994763315514913</v>
      </c>
      <c r="AT219" s="1">
        <v>0.11274964899851869</v>
      </c>
      <c r="AU219" s="1">
        <f t="shared" si="55"/>
        <v>0.1259486829393959</v>
      </c>
      <c r="AV219" s="1">
        <v>11</v>
      </c>
      <c r="AW219">
        <v>399</v>
      </c>
      <c r="AX219">
        <v>327</v>
      </c>
      <c r="AY219" s="6">
        <v>10</v>
      </c>
      <c r="AZ219" s="6">
        <v>10</v>
      </c>
      <c r="BA219" s="11">
        <f t="shared" si="56"/>
        <v>24.9375</v>
      </c>
      <c r="BB219">
        <f t="shared" si="57"/>
        <v>20.4375</v>
      </c>
      <c r="BC219">
        <f t="shared" si="58"/>
        <v>72</v>
      </c>
      <c r="BD219">
        <f t="shared" si="59"/>
        <v>4.5</v>
      </c>
      <c r="BE219" s="10">
        <v>10.1536152309921</v>
      </c>
      <c r="BF219" s="6">
        <v>26.106059999999999</v>
      </c>
      <c r="BG219" s="6">
        <v>28.57705</v>
      </c>
      <c r="BH219" s="6">
        <v>0.65626899999999999</v>
      </c>
      <c r="BI219" s="6">
        <v>0.63636400000000004</v>
      </c>
      <c r="BJ219" s="6"/>
      <c r="BK219" s="6" t="s">
        <v>67</v>
      </c>
      <c r="BL219" s="6" t="s">
        <v>96</v>
      </c>
      <c r="BM219" s="6" t="s">
        <v>70</v>
      </c>
      <c r="BN219" s="6" t="s">
        <v>70</v>
      </c>
    </row>
    <row r="220" spans="1:66">
      <c r="A220" s="1" t="s">
        <v>330</v>
      </c>
      <c r="B220" s="1">
        <v>2016</v>
      </c>
      <c r="C220" s="1" t="s">
        <v>114</v>
      </c>
      <c r="D220" s="1">
        <v>17180000</v>
      </c>
      <c r="E220" s="1">
        <v>7117376</v>
      </c>
      <c r="F220" s="1">
        <v>18017691</v>
      </c>
      <c r="G220" s="1">
        <v>8274768</v>
      </c>
      <c r="H220" s="2">
        <f>SUM(F220:G220)</f>
        <v>26292459</v>
      </c>
      <c r="I220" s="2">
        <f>H220+E220</f>
        <v>33409835</v>
      </c>
      <c r="J220" s="1">
        <v>25663138</v>
      </c>
      <c r="K220" s="2">
        <f>SUM(D220:G220)</f>
        <v>50589835</v>
      </c>
      <c r="L220" s="1">
        <v>76252973</v>
      </c>
      <c r="M220" s="1">
        <v>17468654</v>
      </c>
      <c r="N220" s="1">
        <v>14930795</v>
      </c>
      <c r="O220" s="4">
        <f>SUM(M220:N220)</f>
        <v>32399449</v>
      </c>
      <c r="P220" s="1">
        <v>5378711</v>
      </c>
      <c r="Q220" s="4">
        <f>SUM(O220:P220)</f>
        <v>37778160</v>
      </c>
      <c r="R220" s="1">
        <v>7089050</v>
      </c>
      <c r="S220" s="1">
        <v>18462884</v>
      </c>
      <c r="T220" s="4">
        <f>SUM(R220:S220)</f>
        <v>25551934</v>
      </c>
      <c r="U220" s="1">
        <v>63330094</v>
      </c>
      <c r="V220" s="1">
        <v>2016</v>
      </c>
      <c r="W220" s="8">
        <v>40444312</v>
      </c>
      <c r="X220" s="1">
        <v>0.313</v>
      </c>
      <c r="Y220" s="1">
        <v>0</v>
      </c>
      <c r="Z220" s="1">
        <v>0</v>
      </c>
      <c r="AA220" s="1">
        <v>155270000</v>
      </c>
      <c r="AB220" s="1">
        <v>0.11064597153345784</v>
      </c>
      <c r="AC220" s="1">
        <v>4.5838706768854251E-2</v>
      </c>
      <c r="AD220" s="1">
        <v>0.11604103175114316</v>
      </c>
      <c r="AE220" s="1">
        <v>5.3292767437367168E-2</v>
      </c>
      <c r="AF220" s="2">
        <f>SUM(AD220:AE220)</f>
        <v>0.16933379918851033</v>
      </c>
      <c r="AG220" s="2">
        <f>AF220+AC220</f>
        <v>0.21517250595736459</v>
      </c>
      <c r="AH220" s="1">
        <v>0.16528072390030271</v>
      </c>
      <c r="AI220" s="2">
        <f>SUM(AB220:AE220)</f>
        <v>0.32581847749082243</v>
      </c>
      <c r="AJ220" s="1">
        <v>0.11250501706704451</v>
      </c>
      <c r="AK220" s="1">
        <v>9.6160204804534036E-2</v>
      </c>
      <c r="AL220" s="4">
        <f>SUM(AJ220:AK220)</f>
        <v>0.20866522187157854</v>
      </c>
      <c r="AM220" s="1">
        <v>3.4641018870354867E-2</v>
      </c>
      <c r="AN220" s="4">
        <f>SUM(AL220:AM220)</f>
        <v>0.24330624074193341</v>
      </c>
      <c r="AO220" s="1">
        <v>4.5656276164101242E-2</v>
      </c>
      <c r="AP220" s="1">
        <v>0.11890825014490887</v>
      </c>
      <c r="AQ220" s="4">
        <f>SUM(AO220:AP220)</f>
        <v>0.16456452630901011</v>
      </c>
      <c r="AR220" s="1">
        <v>0.40787076705094349</v>
      </c>
      <c r="AS220" s="1">
        <v>0.49109920139112512</v>
      </c>
      <c r="AT220" s="1">
        <v>0.10103003155793133</v>
      </c>
      <c r="AU220" s="1">
        <f t="shared" si="55"/>
        <v>0.26047731049140205</v>
      </c>
      <c r="AV220" s="1">
        <v>5</v>
      </c>
      <c r="AW220">
        <v>410</v>
      </c>
      <c r="AX220">
        <v>423</v>
      </c>
      <c r="AY220" s="6">
        <v>9</v>
      </c>
      <c r="AZ220" s="6">
        <v>29</v>
      </c>
      <c r="BA220" s="11">
        <f t="shared" si="56"/>
        <v>25.625</v>
      </c>
      <c r="BB220">
        <f t="shared" si="57"/>
        <v>26.4375</v>
      </c>
      <c r="BC220">
        <f t="shared" si="58"/>
        <v>-13</v>
      </c>
      <c r="BD220">
        <f t="shared" si="59"/>
        <v>-0.8125</v>
      </c>
      <c r="BE220" s="10">
        <v>7.6849375277341103</v>
      </c>
      <c r="BF220" s="6">
        <v>26.04054</v>
      </c>
      <c r="BG220" s="6">
        <v>28.140219999999999</v>
      </c>
      <c r="BH220" s="6">
        <v>0.63445200000000002</v>
      </c>
      <c r="BI220" s="6">
        <v>0.56756799999999996</v>
      </c>
      <c r="BJ220" s="6"/>
      <c r="BK220" s="6" t="s">
        <v>80</v>
      </c>
      <c r="BL220" s="6" t="s">
        <v>96</v>
      </c>
      <c r="BM220" s="6" t="s">
        <v>164</v>
      </c>
      <c r="BN220" s="6" t="s">
        <v>70</v>
      </c>
    </row>
    <row r="221" spans="1:66">
      <c r="A221" s="1" t="s">
        <v>331</v>
      </c>
      <c r="B221" s="1">
        <v>2016</v>
      </c>
      <c r="C221" s="1" t="s">
        <v>134</v>
      </c>
      <c r="D221" s="1">
        <v>23694507</v>
      </c>
      <c r="E221" s="1">
        <v>3028926</v>
      </c>
      <c r="F221" s="1">
        <v>11876072</v>
      </c>
      <c r="G221" s="1">
        <v>5615042</v>
      </c>
      <c r="H221" s="2">
        <f t="shared" si="45"/>
        <v>17491114</v>
      </c>
      <c r="I221" s="2">
        <f>H221+E221</f>
        <v>20520040</v>
      </c>
      <c r="J221" s="1">
        <v>16923639</v>
      </c>
      <c r="K221" s="2">
        <f t="shared" si="46"/>
        <v>44214547</v>
      </c>
      <c r="L221" s="1">
        <v>61138186</v>
      </c>
      <c r="M221" s="1">
        <v>9996826</v>
      </c>
      <c r="N221" s="1">
        <v>13678890</v>
      </c>
      <c r="O221" s="4">
        <f t="shared" si="47"/>
        <v>23675716</v>
      </c>
      <c r="P221" s="1">
        <v>16215848</v>
      </c>
      <c r="Q221" s="4">
        <f t="shared" si="48"/>
        <v>39891564</v>
      </c>
      <c r="R221" s="1">
        <v>10807904</v>
      </c>
      <c r="S221" s="1">
        <v>9075198</v>
      </c>
      <c r="T221" s="4">
        <f t="shared" si="49"/>
        <v>19883102</v>
      </c>
      <c r="U221" s="1">
        <v>59774666</v>
      </c>
      <c r="V221" s="1">
        <v>2016</v>
      </c>
      <c r="W221" s="8">
        <v>36918271</v>
      </c>
      <c r="X221" s="1">
        <v>0.125</v>
      </c>
      <c r="Y221" s="1">
        <v>0</v>
      </c>
      <c r="Z221" s="1">
        <v>0</v>
      </c>
      <c r="AA221" s="1">
        <v>155270000</v>
      </c>
      <c r="AB221" s="1">
        <v>0.15260196432021639</v>
      </c>
      <c r="AC221" s="1">
        <v>1.9507477297610615E-2</v>
      </c>
      <c r="AD221" s="1">
        <v>7.648658465898113E-2</v>
      </c>
      <c r="AE221" s="1">
        <v>3.6163083660720033E-2</v>
      </c>
      <c r="AF221" s="2">
        <f t="shared" si="50"/>
        <v>0.11264966831970116</v>
      </c>
      <c r="AG221" s="2">
        <f>AF221+AC221</f>
        <v>0.13215714561731179</v>
      </c>
      <c r="AH221" s="1">
        <v>0.10899490564822567</v>
      </c>
      <c r="AI221" s="2">
        <f t="shared" si="51"/>
        <v>0.28475910993752818</v>
      </c>
      <c r="AJ221" s="1">
        <v>6.4383499710182257E-2</v>
      </c>
      <c r="AK221" s="1">
        <v>8.809744316352161E-2</v>
      </c>
      <c r="AL221" s="4">
        <f t="shared" si="52"/>
        <v>0.15248094287370387</v>
      </c>
      <c r="AM221" s="1">
        <v>0.10443645263090101</v>
      </c>
      <c r="AN221" s="4">
        <f t="shared" si="53"/>
        <v>0.25691739550460491</v>
      </c>
      <c r="AO221" s="1">
        <v>6.9607161718297159E-2</v>
      </c>
      <c r="AP221" s="1">
        <v>5.8447852128550269E-2</v>
      </c>
      <c r="AQ221" s="4">
        <f t="shared" si="54"/>
        <v>0.12805501384684742</v>
      </c>
      <c r="AR221" s="1">
        <v>0.38497240935145233</v>
      </c>
      <c r="AS221" s="1">
        <v>0.39375401558575385</v>
      </c>
      <c r="AT221" s="1">
        <v>0.22127357506279388</v>
      </c>
      <c r="AU221" s="1">
        <f t="shared" si="55"/>
        <v>0.23776821665485928</v>
      </c>
      <c r="AV221" s="1">
        <v>2</v>
      </c>
      <c r="AW221">
        <v>309</v>
      </c>
      <c r="AX221">
        <v>480</v>
      </c>
      <c r="AY221" s="6">
        <v>27</v>
      </c>
      <c r="AZ221" s="6">
        <v>32</v>
      </c>
      <c r="BA221" s="11">
        <f t="shared" si="56"/>
        <v>19.3125</v>
      </c>
      <c r="BB221">
        <f t="shared" si="57"/>
        <v>30</v>
      </c>
      <c r="BC221">
        <f t="shared" si="58"/>
        <v>-171</v>
      </c>
      <c r="BD221">
        <f t="shared" si="59"/>
        <v>-10.6875</v>
      </c>
      <c r="BE221" s="10">
        <v>3.09610132638403</v>
      </c>
      <c r="BF221" s="6">
        <v>26.02778</v>
      </c>
      <c r="BG221" s="6">
        <v>28.11214</v>
      </c>
      <c r="BH221" s="6">
        <v>0.62204300000000001</v>
      </c>
      <c r="BI221" s="6">
        <v>0.625</v>
      </c>
      <c r="BJ221" s="6"/>
      <c r="BK221" s="6" t="s">
        <v>80</v>
      </c>
      <c r="BL221" s="6" t="s">
        <v>68</v>
      </c>
      <c r="BM221" s="6" t="s">
        <v>92</v>
      </c>
      <c r="BN221" s="6" t="s">
        <v>70</v>
      </c>
    </row>
    <row r="222" spans="1:66">
      <c r="A222" s="1" t="s">
        <v>332</v>
      </c>
      <c r="B222" s="1">
        <v>2016</v>
      </c>
      <c r="C222" s="1" t="s">
        <v>136</v>
      </c>
      <c r="D222" s="1">
        <v>18997000</v>
      </c>
      <c r="E222" s="1">
        <v>2236171</v>
      </c>
      <c r="F222" s="1">
        <v>13750952</v>
      </c>
      <c r="G222" s="1">
        <v>12684653</v>
      </c>
      <c r="H222" s="2">
        <f t="shared" si="45"/>
        <v>26435605</v>
      </c>
      <c r="I222" s="2">
        <f>H222+E222</f>
        <v>28671776</v>
      </c>
      <c r="J222" s="1">
        <v>6307577</v>
      </c>
      <c r="K222" s="2">
        <f t="shared" si="46"/>
        <v>47668776</v>
      </c>
      <c r="L222" s="1">
        <v>53976353</v>
      </c>
      <c r="M222" s="1">
        <v>5661793</v>
      </c>
      <c r="N222" s="1">
        <v>17312549</v>
      </c>
      <c r="O222" s="4">
        <f t="shared" si="47"/>
        <v>22974342</v>
      </c>
      <c r="P222" s="1">
        <v>15426110</v>
      </c>
      <c r="Q222" s="4">
        <f t="shared" si="48"/>
        <v>38400452</v>
      </c>
      <c r="R222" s="1">
        <v>17920176</v>
      </c>
      <c r="S222" s="1">
        <v>20642727</v>
      </c>
      <c r="T222" s="4">
        <f t="shared" si="49"/>
        <v>38562903</v>
      </c>
      <c r="U222" s="1">
        <v>76963355</v>
      </c>
      <c r="V222" s="1">
        <v>2016</v>
      </c>
      <c r="W222" s="8">
        <v>15821302</v>
      </c>
      <c r="X222" s="1">
        <v>0.65600000000000003</v>
      </c>
      <c r="Y222" s="1">
        <v>1</v>
      </c>
      <c r="Z222" s="1">
        <v>0</v>
      </c>
      <c r="AA222" s="1">
        <v>155270000</v>
      </c>
      <c r="AB222" s="1">
        <v>0.12234816770786372</v>
      </c>
      <c r="AC222" s="1">
        <v>1.4401822631545051E-2</v>
      </c>
      <c r="AD222" s="1">
        <v>8.8561550846911835E-2</v>
      </c>
      <c r="AE222" s="1">
        <v>8.1694165002898181E-2</v>
      </c>
      <c r="AF222" s="2">
        <f t="shared" si="50"/>
        <v>0.17025571584981003</v>
      </c>
      <c r="AG222" s="2">
        <f>AF222+AC222</f>
        <v>0.18465753848135508</v>
      </c>
      <c r="AH222" s="1">
        <v>4.0623282024859923E-2</v>
      </c>
      <c r="AI222" s="2">
        <f t="shared" si="51"/>
        <v>0.3070057061892188</v>
      </c>
      <c r="AJ222" s="1">
        <v>3.6464178527725898E-2</v>
      </c>
      <c r="AK222" s="1">
        <v>0.11149963933792748</v>
      </c>
      <c r="AL222" s="4">
        <f t="shared" si="52"/>
        <v>0.14796381786565338</v>
      </c>
      <c r="AM222" s="1">
        <v>9.9350228633992399E-2</v>
      </c>
      <c r="AN222" s="4">
        <f t="shared" si="53"/>
        <v>0.24731404649964578</v>
      </c>
      <c r="AO222" s="1">
        <v>0.11541299671539898</v>
      </c>
      <c r="AP222" s="1">
        <v>0.13294729825465318</v>
      </c>
      <c r="AQ222" s="4">
        <f t="shared" si="54"/>
        <v>0.24836029497005216</v>
      </c>
      <c r="AR222" s="1">
        <v>0.49567434146969797</v>
      </c>
      <c r="AS222" s="1">
        <v>0.34762898821407873</v>
      </c>
      <c r="AT222" s="1">
        <v>0.15669667031622336</v>
      </c>
      <c r="AU222" s="1">
        <f t="shared" si="55"/>
        <v>0.10189542087975784</v>
      </c>
      <c r="AV222" s="1">
        <v>10</v>
      </c>
      <c r="AW222">
        <v>354</v>
      </c>
      <c r="AX222">
        <v>292</v>
      </c>
      <c r="AY222" s="6">
        <v>18</v>
      </c>
      <c r="AZ222" s="6">
        <v>3</v>
      </c>
      <c r="BA222" s="11">
        <f t="shared" si="56"/>
        <v>22.125</v>
      </c>
      <c r="BB222">
        <f t="shared" si="57"/>
        <v>18.25</v>
      </c>
      <c r="BC222">
        <f t="shared" si="58"/>
        <v>62</v>
      </c>
      <c r="BD222">
        <f t="shared" si="59"/>
        <v>3.875</v>
      </c>
      <c r="BE222" s="10">
        <v>9.8631825600205492</v>
      </c>
      <c r="BF222" s="6">
        <v>25.835819999999998</v>
      </c>
      <c r="BG222" s="6">
        <v>27.6876</v>
      </c>
      <c r="BH222" s="6">
        <v>0.67331799999999997</v>
      </c>
      <c r="BI222" s="6">
        <v>0.492537</v>
      </c>
      <c r="BJ222" s="6"/>
      <c r="BK222" s="6" t="s">
        <v>80</v>
      </c>
      <c r="BL222" s="6" t="s">
        <v>96</v>
      </c>
      <c r="BM222" s="6" t="s">
        <v>164</v>
      </c>
      <c r="BN222" s="6" t="s">
        <v>93</v>
      </c>
    </row>
    <row r="223" spans="1:66">
      <c r="A223" s="1" t="s">
        <v>333</v>
      </c>
      <c r="B223" s="1">
        <v>2016</v>
      </c>
      <c r="C223" s="1" t="s">
        <v>138</v>
      </c>
      <c r="D223" s="1">
        <v>8192029</v>
      </c>
      <c r="E223" s="1">
        <v>9960806</v>
      </c>
      <c r="F223" s="1">
        <v>20084145</v>
      </c>
      <c r="G223" s="1">
        <v>4575686</v>
      </c>
      <c r="H223" s="2">
        <f t="shared" si="45"/>
        <v>24659831</v>
      </c>
      <c r="I223" s="2">
        <f>H223+E223</f>
        <v>34620637</v>
      </c>
      <c r="J223" s="1">
        <v>28332177</v>
      </c>
      <c r="K223" s="2">
        <f t="shared" si="46"/>
        <v>42812666</v>
      </c>
      <c r="L223" s="1">
        <v>71144843</v>
      </c>
      <c r="M223" s="1">
        <v>18489165</v>
      </c>
      <c r="N223" s="1">
        <v>14390783</v>
      </c>
      <c r="O223" s="4">
        <f t="shared" si="47"/>
        <v>32879948</v>
      </c>
      <c r="P223" s="1">
        <v>15028993</v>
      </c>
      <c r="Q223" s="4">
        <f t="shared" si="48"/>
        <v>47908941</v>
      </c>
      <c r="R223" s="1">
        <v>5670300</v>
      </c>
      <c r="S223" s="1">
        <v>21537490</v>
      </c>
      <c r="T223" s="4">
        <f t="shared" si="49"/>
        <v>27207790</v>
      </c>
      <c r="U223" s="1">
        <v>75116731</v>
      </c>
      <c r="V223" s="1">
        <v>2016</v>
      </c>
      <c r="W223" s="8">
        <v>28750608</v>
      </c>
      <c r="X223" s="1">
        <v>0.56299999999999994</v>
      </c>
      <c r="Y223" s="1">
        <v>0</v>
      </c>
      <c r="Z223" s="1">
        <v>0</v>
      </c>
      <c r="AA223" s="1">
        <v>155270000</v>
      </c>
      <c r="AB223" s="1">
        <v>5.2759895665614738E-2</v>
      </c>
      <c r="AC223" s="1">
        <v>6.415151671282282E-2</v>
      </c>
      <c r="AD223" s="1">
        <v>0.12934981000837251</v>
      </c>
      <c r="AE223" s="1">
        <v>2.9469221356347008E-2</v>
      </c>
      <c r="AF223" s="2">
        <f t="shared" si="50"/>
        <v>0.1588190313647195</v>
      </c>
      <c r="AG223" s="2">
        <f>AF223+AC223</f>
        <v>0.22297054807754232</v>
      </c>
      <c r="AH223" s="1">
        <v>0.18247038706768853</v>
      </c>
      <c r="AI223" s="2">
        <f t="shared" si="51"/>
        <v>0.27573044374315708</v>
      </c>
      <c r="AJ223" s="1">
        <v>0.11907751014362079</v>
      </c>
      <c r="AK223" s="1">
        <v>9.2682314677658278E-2</v>
      </c>
      <c r="AL223" s="4">
        <f t="shared" si="52"/>
        <v>0.21175982482127909</v>
      </c>
      <c r="AM223" s="1">
        <v>9.6792638629484118E-2</v>
      </c>
      <c r="AN223" s="4">
        <f t="shared" si="53"/>
        <v>0.3085524634507632</v>
      </c>
      <c r="AO223" s="1">
        <v>3.6518966960777999E-2</v>
      </c>
      <c r="AP223" s="1">
        <v>0.13870992464738843</v>
      </c>
      <c r="AQ223" s="4">
        <f t="shared" si="54"/>
        <v>0.17522889160816643</v>
      </c>
      <c r="AR223" s="1">
        <v>0.48378135505892961</v>
      </c>
      <c r="AS223" s="1">
        <v>0.45820083081084562</v>
      </c>
      <c r="AT223" s="1">
        <v>5.8017814130224776E-2</v>
      </c>
      <c r="AU223" s="1">
        <f t="shared" si="55"/>
        <v>0.18516524763315514</v>
      </c>
      <c r="AV223" s="1">
        <v>9</v>
      </c>
      <c r="AW223">
        <v>354</v>
      </c>
      <c r="AX223">
        <v>369</v>
      </c>
      <c r="AY223" s="6">
        <v>18</v>
      </c>
      <c r="AZ223" s="6">
        <v>15</v>
      </c>
      <c r="BA223" s="11">
        <f t="shared" si="56"/>
        <v>22.125</v>
      </c>
      <c r="BB223">
        <f t="shared" si="57"/>
        <v>23.0625</v>
      </c>
      <c r="BC223">
        <f t="shared" si="58"/>
        <v>-15</v>
      </c>
      <c r="BD223">
        <f t="shared" si="59"/>
        <v>-0.9375</v>
      </c>
      <c r="BE223" s="10">
        <v>7.6268509935398097</v>
      </c>
      <c r="BF223" s="6">
        <v>25.984850000000002</v>
      </c>
      <c r="BG223" s="6">
        <v>27.96311</v>
      </c>
      <c r="BH223" s="6">
        <v>0.61424699999999999</v>
      </c>
      <c r="BI223" s="6">
        <v>0.54545500000000002</v>
      </c>
      <c r="BJ223" s="6"/>
      <c r="BK223" s="6" t="s">
        <v>80</v>
      </c>
      <c r="BL223" s="6" t="s">
        <v>68</v>
      </c>
      <c r="BM223" s="6" t="s">
        <v>92</v>
      </c>
      <c r="BN223" s="6" t="s">
        <v>93</v>
      </c>
    </row>
    <row r="224" spans="1:66">
      <c r="A224" s="1" t="s">
        <v>334</v>
      </c>
      <c r="B224" s="1">
        <v>2016</v>
      </c>
      <c r="C224" s="1" t="s">
        <v>140</v>
      </c>
      <c r="D224" s="1">
        <v>7534058</v>
      </c>
      <c r="E224" s="1">
        <v>7603960</v>
      </c>
      <c r="F224" s="1">
        <v>14852328</v>
      </c>
      <c r="G224" s="1">
        <v>10992080</v>
      </c>
      <c r="H224" s="2">
        <f t="shared" si="45"/>
        <v>25844408</v>
      </c>
      <c r="I224" s="2">
        <f>H224+E224</f>
        <v>33448368</v>
      </c>
      <c r="J224" s="1">
        <v>21398613</v>
      </c>
      <c r="K224" s="2">
        <f t="shared" si="46"/>
        <v>40982426</v>
      </c>
      <c r="L224" s="1">
        <v>62381039</v>
      </c>
      <c r="M224" s="1">
        <v>15355883</v>
      </c>
      <c r="N224" s="1">
        <v>17193846</v>
      </c>
      <c r="O224" s="4">
        <f t="shared" si="47"/>
        <v>32549729</v>
      </c>
      <c r="P224" s="1">
        <v>8042363</v>
      </c>
      <c r="Q224" s="4">
        <f t="shared" si="48"/>
        <v>40592092</v>
      </c>
      <c r="R224" s="1">
        <v>10382798</v>
      </c>
      <c r="S224" s="1">
        <v>13084964</v>
      </c>
      <c r="T224" s="4">
        <f t="shared" si="49"/>
        <v>23467762</v>
      </c>
      <c r="U224" s="1">
        <v>64059854</v>
      </c>
      <c r="V224" s="1">
        <v>2016</v>
      </c>
      <c r="W224" s="8">
        <v>15808120</v>
      </c>
      <c r="X224" s="1">
        <v>0.56299999999999994</v>
      </c>
      <c r="Y224" s="1">
        <v>0</v>
      </c>
      <c r="Z224" s="1">
        <v>0</v>
      </c>
      <c r="AA224" s="1">
        <v>155270000</v>
      </c>
      <c r="AB224" s="1">
        <v>4.8522303084948801E-2</v>
      </c>
      <c r="AC224" s="1">
        <v>4.8972499516970441E-2</v>
      </c>
      <c r="AD224" s="1">
        <v>9.5654846396599477E-2</v>
      </c>
      <c r="AE224" s="1">
        <v>7.0793327751658405E-2</v>
      </c>
      <c r="AF224" s="2">
        <f t="shared" si="50"/>
        <v>0.16644817414825788</v>
      </c>
      <c r="AG224" s="2">
        <f>AF224+AC224</f>
        <v>0.21542067366522832</v>
      </c>
      <c r="AH224" s="1">
        <v>0.13781550202872417</v>
      </c>
      <c r="AI224" s="2">
        <f t="shared" si="51"/>
        <v>0.26394297675017714</v>
      </c>
      <c r="AJ224" s="1">
        <v>9.8897939073871316E-2</v>
      </c>
      <c r="AK224" s="1">
        <v>0.11073514523088814</v>
      </c>
      <c r="AL224" s="4">
        <f t="shared" si="52"/>
        <v>0.20963308430475946</v>
      </c>
      <c r="AM224" s="1">
        <v>5.1795987634443229E-2</v>
      </c>
      <c r="AN224" s="4">
        <f t="shared" si="53"/>
        <v>0.26142907193920267</v>
      </c>
      <c r="AO224" s="1">
        <v>6.6869311521865135E-2</v>
      </c>
      <c r="AP224" s="1">
        <v>8.4272325626328332E-2</v>
      </c>
      <c r="AQ224" s="4">
        <f t="shared" si="54"/>
        <v>0.15114163714819345</v>
      </c>
      <c r="AR224" s="1">
        <v>0.41257070908739613</v>
      </c>
      <c r="AS224" s="1">
        <v>0.40175847877890125</v>
      </c>
      <c r="AT224" s="1">
        <v>0.18567081213370262</v>
      </c>
      <c r="AU224" s="1">
        <f t="shared" si="55"/>
        <v>0.10181052360404456</v>
      </c>
      <c r="AV224" s="1">
        <v>9</v>
      </c>
      <c r="AW224">
        <v>381</v>
      </c>
      <c r="AX224">
        <v>378</v>
      </c>
      <c r="AY224" s="6">
        <v>14</v>
      </c>
      <c r="AZ224" s="6">
        <v>16</v>
      </c>
      <c r="BA224" s="11">
        <f t="shared" si="56"/>
        <v>23.8125</v>
      </c>
      <c r="BB224">
        <f t="shared" si="57"/>
        <v>23.625</v>
      </c>
      <c r="BC224">
        <f t="shared" si="58"/>
        <v>3</v>
      </c>
      <c r="BD224">
        <f t="shared" si="59"/>
        <v>0.1875</v>
      </c>
      <c r="BE224" s="10">
        <v>8.1496298012885493</v>
      </c>
      <c r="BF224" s="6">
        <v>26.245899999999999</v>
      </c>
      <c r="BG224" s="6">
        <v>27.709620000000001</v>
      </c>
      <c r="BH224" s="6">
        <v>0.53720100000000004</v>
      </c>
      <c r="BI224" s="6">
        <v>0.54098400000000002</v>
      </c>
      <c r="BJ224" s="6"/>
      <c r="BK224" s="6" t="s">
        <v>80</v>
      </c>
      <c r="BL224" s="6" t="s">
        <v>74</v>
      </c>
      <c r="BM224" s="6" t="s">
        <v>81</v>
      </c>
      <c r="BN224" s="6" t="s">
        <v>75</v>
      </c>
    </row>
    <row r="225" spans="1:80">
      <c r="A225" s="1" t="s">
        <v>335</v>
      </c>
      <c r="B225" s="1">
        <v>2016</v>
      </c>
      <c r="C225" s="1" t="s">
        <v>142</v>
      </c>
      <c r="D225" s="1">
        <v>22237334</v>
      </c>
      <c r="E225" s="1">
        <v>2428948</v>
      </c>
      <c r="F225" s="1">
        <v>23519793</v>
      </c>
      <c r="G225" s="1">
        <v>8387911</v>
      </c>
      <c r="H225" s="2">
        <f t="shared" si="45"/>
        <v>31907704</v>
      </c>
      <c r="I225" s="2">
        <f>H225+E225</f>
        <v>34336652</v>
      </c>
      <c r="J225" s="1">
        <v>26070817</v>
      </c>
      <c r="K225" s="2">
        <f t="shared" si="46"/>
        <v>56573986</v>
      </c>
      <c r="L225" s="1">
        <v>82644803</v>
      </c>
      <c r="M225" s="1">
        <v>9823954</v>
      </c>
      <c r="N225" s="1">
        <v>11615247</v>
      </c>
      <c r="O225" s="4">
        <f t="shared" si="47"/>
        <v>21439201</v>
      </c>
      <c r="P225" s="1">
        <v>4179207</v>
      </c>
      <c r="Q225" s="4">
        <f t="shared" si="48"/>
        <v>25618408</v>
      </c>
      <c r="R225" s="1">
        <v>7736030</v>
      </c>
      <c r="S225" s="1">
        <v>10733385</v>
      </c>
      <c r="T225" s="4">
        <f t="shared" si="49"/>
        <v>18469415</v>
      </c>
      <c r="U225" s="1">
        <v>44087823</v>
      </c>
      <c r="V225" s="1">
        <v>2016</v>
      </c>
      <c r="W225" s="8">
        <v>12388527</v>
      </c>
      <c r="X225" s="1">
        <v>0.53100000000000003</v>
      </c>
      <c r="Y225" s="1">
        <v>0</v>
      </c>
      <c r="Z225" s="1">
        <v>0</v>
      </c>
      <c r="AA225" s="1">
        <v>155270000</v>
      </c>
      <c r="AB225" s="1">
        <v>0.14321719585238615</v>
      </c>
      <c r="AC225" s="1">
        <v>1.5643382495008695E-2</v>
      </c>
      <c r="AD225" s="1">
        <v>0.15147673729632252</v>
      </c>
      <c r="AE225" s="1">
        <v>5.4021452952920719E-2</v>
      </c>
      <c r="AF225" s="2">
        <f t="shared" si="50"/>
        <v>0.20549819024924323</v>
      </c>
      <c r="AG225" s="2">
        <f>AF225+AC225</f>
        <v>0.22114157274425192</v>
      </c>
      <c r="AH225" s="1">
        <v>0.16790633734784569</v>
      </c>
      <c r="AI225" s="2">
        <f t="shared" si="51"/>
        <v>0.36435876859663807</v>
      </c>
      <c r="AJ225" s="1">
        <v>6.3270135892316615E-2</v>
      </c>
      <c r="AK225" s="1">
        <v>7.4806768854253886E-2</v>
      </c>
      <c r="AL225" s="4">
        <f t="shared" si="52"/>
        <v>0.1380769047465705</v>
      </c>
      <c r="AM225" s="1">
        <v>2.6915740323307787E-2</v>
      </c>
      <c r="AN225" s="4">
        <f t="shared" si="53"/>
        <v>0.16499264506987829</v>
      </c>
      <c r="AO225" s="1">
        <v>4.9823082372641207E-2</v>
      </c>
      <c r="AP225" s="1">
        <v>6.9127229986475178E-2</v>
      </c>
      <c r="AQ225" s="4">
        <f t="shared" si="54"/>
        <v>0.11895031235911638</v>
      </c>
      <c r="AR225" s="1">
        <v>0.28394295742899467</v>
      </c>
      <c r="AS225" s="1">
        <v>0.53226510594448384</v>
      </c>
      <c r="AT225" s="1">
        <v>0.18379193662652149</v>
      </c>
      <c r="AU225" s="1">
        <f t="shared" si="55"/>
        <v>7.978699684420687E-2</v>
      </c>
      <c r="AV225" s="1">
        <v>8</v>
      </c>
      <c r="AW225">
        <v>396</v>
      </c>
      <c r="AX225">
        <v>383</v>
      </c>
      <c r="AY225" s="6">
        <v>12</v>
      </c>
      <c r="AZ225" s="6">
        <v>19</v>
      </c>
      <c r="BA225" s="11">
        <f t="shared" si="56"/>
        <v>24.75</v>
      </c>
      <c r="BB225">
        <f t="shared" si="57"/>
        <v>23.9375</v>
      </c>
      <c r="BC225">
        <f t="shared" si="58"/>
        <v>13</v>
      </c>
      <c r="BD225">
        <f t="shared" si="59"/>
        <v>0.8125</v>
      </c>
      <c r="BE225" s="10">
        <v>8.4400624722600792</v>
      </c>
      <c r="BF225" s="6">
        <v>26.546880000000002</v>
      </c>
      <c r="BG225" s="6">
        <v>28.216370000000001</v>
      </c>
      <c r="BH225" s="6">
        <v>0.63629800000000003</v>
      </c>
      <c r="BI225" s="6">
        <v>0.609375</v>
      </c>
      <c r="BJ225" s="6"/>
      <c r="BK225" s="6" t="s">
        <v>80</v>
      </c>
      <c r="BL225" s="6" t="s">
        <v>96</v>
      </c>
      <c r="BM225" s="6" t="s">
        <v>164</v>
      </c>
      <c r="BN225" s="6" t="s">
        <v>70</v>
      </c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</row>
    <row r="226" spans="1:80">
      <c r="A226" s="1" t="s">
        <v>336</v>
      </c>
      <c r="B226" s="1">
        <v>2015</v>
      </c>
      <c r="C226" s="1" t="s">
        <v>66</v>
      </c>
      <c r="D226" s="1">
        <v>11834168</v>
      </c>
      <c r="E226" s="1">
        <v>2946734</v>
      </c>
      <c r="F226" s="1">
        <v>16186291</v>
      </c>
      <c r="G226" s="1">
        <v>5182957</v>
      </c>
      <c r="H226" s="2">
        <f t="shared" si="45"/>
        <v>21369248</v>
      </c>
      <c r="I226" s="2">
        <f>H226+E226</f>
        <v>24315982</v>
      </c>
      <c r="J226" s="1">
        <v>29469242</v>
      </c>
      <c r="K226" s="2">
        <f t="shared" si="46"/>
        <v>36150150</v>
      </c>
      <c r="L226" s="1">
        <v>65619392</v>
      </c>
      <c r="M226" s="1">
        <v>23944442</v>
      </c>
      <c r="N226" s="1">
        <v>5601270</v>
      </c>
      <c r="O226" s="4">
        <f t="shared" si="47"/>
        <v>29545712</v>
      </c>
      <c r="P226" s="1">
        <v>9462857</v>
      </c>
      <c r="Q226" s="4">
        <f t="shared" si="48"/>
        <v>39008569</v>
      </c>
      <c r="R226" s="1">
        <v>4181310</v>
      </c>
      <c r="S226" s="1">
        <v>22409565</v>
      </c>
      <c r="T226" s="4">
        <f t="shared" si="49"/>
        <v>26590875</v>
      </c>
      <c r="U226" s="1">
        <v>65599444</v>
      </c>
      <c r="V226" s="1">
        <v>2015</v>
      </c>
      <c r="W226" s="8">
        <v>11207227</v>
      </c>
      <c r="X226" s="1">
        <v>0.81299999999999994</v>
      </c>
      <c r="Y226" s="1">
        <v>1</v>
      </c>
      <c r="Z226" s="1">
        <v>0</v>
      </c>
      <c r="AA226" s="1">
        <v>143280000</v>
      </c>
      <c r="AB226" s="1">
        <v>8.2594695700725848E-2</v>
      </c>
      <c r="AC226" s="1">
        <v>2.0566261864879955E-2</v>
      </c>
      <c r="AD226" s="1">
        <v>0.11296964684533781</v>
      </c>
      <c r="AE226" s="1">
        <v>3.6173625069793408E-2</v>
      </c>
      <c r="AF226" s="2">
        <f t="shared" si="50"/>
        <v>0.14914327191513121</v>
      </c>
      <c r="AG226" s="2">
        <f>AF226+AC226</f>
        <v>0.16970953378001116</v>
      </c>
      <c r="AH226" s="1">
        <v>0.20567589335566722</v>
      </c>
      <c r="AI226" s="2">
        <f t="shared" si="51"/>
        <v>0.25230422948073705</v>
      </c>
      <c r="AJ226" s="1">
        <v>0.16711642936906757</v>
      </c>
      <c r="AK226" s="1">
        <v>3.9093174204355111E-2</v>
      </c>
      <c r="AL226" s="4">
        <f t="shared" si="52"/>
        <v>0.20620960357342266</v>
      </c>
      <c r="AM226" s="1">
        <v>6.6044507258514795E-2</v>
      </c>
      <c r="AN226" s="4">
        <f t="shared" si="53"/>
        <v>0.27225411083193746</v>
      </c>
      <c r="AO226" s="1">
        <v>2.9182788944723616E-2</v>
      </c>
      <c r="AP226" s="1">
        <v>0.15640399916247907</v>
      </c>
      <c r="AQ226" s="4">
        <f t="shared" si="54"/>
        <v>0.18558678810720269</v>
      </c>
      <c r="AR226" s="1">
        <v>0.45784089893914015</v>
      </c>
      <c r="AS226" s="1">
        <v>0.45798012283640427</v>
      </c>
      <c r="AT226" s="1">
        <v>8.4178978224455525E-2</v>
      </c>
      <c r="AU226" s="1">
        <f t="shared" si="55"/>
        <v>7.8219060580681191E-2</v>
      </c>
      <c r="AV226" s="1">
        <v>13</v>
      </c>
      <c r="AW226">
        <v>489</v>
      </c>
      <c r="AX226">
        <v>313</v>
      </c>
      <c r="AY226" s="6">
        <v>2</v>
      </c>
      <c r="AZ226" s="6">
        <v>7</v>
      </c>
      <c r="BA226" s="11">
        <f t="shared" si="56"/>
        <v>30.5625</v>
      </c>
      <c r="BB226">
        <f t="shared" si="57"/>
        <v>19.5625</v>
      </c>
      <c r="BC226">
        <f t="shared" si="58"/>
        <v>176</v>
      </c>
      <c r="BD226">
        <f t="shared" si="59"/>
        <v>11</v>
      </c>
      <c r="BE226" s="10">
        <v>13.1741150090959</v>
      </c>
      <c r="BF226" s="6">
        <v>26.569230000000001</v>
      </c>
      <c r="BG226" s="6">
        <v>28.12679</v>
      </c>
      <c r="BH226" s="6">
        <v>0.62466100000000002</v>
      </c>
      <c r="BI226" s="6">
        <v>0.584615</v>
      </c>
      <c r="BJ226" s="6"/>
      <c r="BK226" s="6" t="s">
        <v>80</v>
      </c>
      <c r="BL226" s="6" t="s">
        <v>68</v>
      </c>
      <c r="BM226" s="6" t="s">
        <v>92</v>
      </c>
      <c r="BN226" s="6" t="s">
        <v>70</v>
      </c>
    </row>
    <row r="227" spans="1:80">
      <c r="A227" s="1" t="s">
        <v>337</v>
      </c>
      <c r="B227" s="1">
        <v>2015</v>
      </c>
      <c r="C227" s="1" t="s">
        <v>72</v>
      </c>
      <c r="D227" s="1">
        <v>20208674</v>
      </c>
      <c r="E227" s="1">
        <v>2086750</v>
      </c>
      <c r="F227" s="1">
        <v>23948138</v>
      </c>
      <c r="G227" s="1">
        <v>2839587</v>
      </c>
      <c r="H227" s="2">
        <f t="shared" si="45"/>
        <v>26787725</v>
      </c>
      <c r="I227" s="2">
        <f>H227+E227</f>
        <v>28874475</v>
      </c>
      <c r="J227" s="1">
        <v>15191609</v>
      </c>
      <c r="K227" s="2">
        <f t="shared" si="46"/>
        <v>49083149</v>
      </c>
      <c r="L227" s="1">
        <v>64274758</v>
      </c>
      <c r="M227" s="1">
        <v>14046673</v>
      </c>
      <c r="N227" s="1">
        <v>11391348</v>
      </c>
      <c r="O227" s="4">
        <f t="shared" si="47"/>
        <v>25438021</v>
      </c>
      <c r="P227" s="1">
        <v>6048588</v>
      </c>
      <c r="Q227" s="4">
        <f t="shared" si="48"/>
        <v>31486609</v>
      </c>
      <c r="R227" s="1">
        <v>7655153</v>
      </c>
      <c r="S227" s="1">
        <v>5104050</v>
      </c>
      <c r="T227" s="4">
        <f t="shared" si="49"/>
        <v>12759203</v>
      </c>
      <c r="U227" s="1">
        <v>44245812</v>
      </c>
      <c r="V227" s="1">
        <v>2015</v>
      </c>
      <c r="W227" s="8">
        <v>14045930</v>
      </c>
      <c r="X227" s="1">
        <v>0.5</v>
      </c>
      <c r="Y227" s="1">
        <v>0</v>
      </c>
      <c r="Z227" s="1">
        <v>0</v>
      </c>
      <c r="AA227" s="1">
        <v>143280000</v>
      </c>
      <c r="AB227" s="1">
        <v>0.14104323003908431</v>
      </c>
      <c r="AC227" s="1">
        <v>1.4564140145170296E-2</v>
      </c>
      <c r="AD227" s="1">
        <v>0.16714222501395867</v>
      </c>
      <c r="AE227" s="1">
        <v>1.9818446398659966E-2</v>
      </c>
      <c r="AF227" s="2">
        <f t="shared" si="50"/>
        <v>0.18696067141261863</v>
      </c>
      <c r="AG227" s="2">
        <f>AF227+AC227</f>
        <v>0.20152481155778892</v>
      </c>
      <c r="AH227" s="1">
        <v>0.10602742183137912</v>
      </c>
      <c r="AI227" s="2">
        <f t="shared" si="51"/>
        <v>0.34256804159687326</v>
      </c>
      <c r="AJ227" s="1">
        <v>9.8036522892238978E-2</v>
      </c>
      <c r="AK227" s="1">
        <v>7.950410385259632E-2</v>
      </c>
      <c r="AL227" s="4">
        <f t="shared" si="52"/>
        <v>0.17754062674483528</v>
      </c>
      <c r="AM227" s="1">
        <v>4.2215159128978226E-2</v>
      </c>
      <c r="AN227" s="4">
        <f t="shared" si="53"/>
        <v>0.2197557858738135</v>
      </c>
      <c r="AO227" s="1">
        <v>5.3427924343941932E-2</v>
      </c>
      <c r="AP227" s="1">
        <v>3.5622906197654944E-2</v>
      </c>
      <c r="AQ227" s="4">
        <f t="shared" si="54"/>
        <v>8.9050830541596876E-2</v>
      </c>
      <c r="AR227" s="1">
        <v>0.30880661641541041</v>
      </c>
      <c r="AS227" s="1">
        <v>0.44859546342825235</v>
      </c>
      <c r="AT227" s="1">
        <v>0.2425979201563373</v>
      </c>
      <c r="AU227" s="1">
        <f t="shared" si="55"/>
        <v>9.8031337241764382E-2</v>
      </c>
      <c r="AV227" s="1">
        <v>8</v>
      </c>
      <c r="AW227">
        <v>339</v>
      </c>
      <c r="AX227">
        <v>345</v>
      </c>
      <c r="AY227" s="6">
        <v>21</v>
      </c>
      <c r="AZ227" s="6">
        <v>14</v>
      </c>
      <c r="BA227" s="11">
        <f t="shared" si="56"/>
        <v>21.1875</v>
      </c>
      <c r="BB227">
        <f t="shared" si="57"/>
        <v>21.5625</v>
      </c>
      <c r="BC227">
        <f t="shared" si="58"/>
        <v>-6</v>
      </c>
      <c r="BD227">
        <f t="shared" si="59"/>
        <v>-0.375</v>
      </c>
      <c r="BE227" s="10">
        <v>7.8882403974141804</v>
      </c>
      <c r="BF227" s="6">
        <v>27.133330000000001</v>
      </c>
      <c r="BG227" s="6">
        <v>28.81007</v>
      </c>
      <c r="BH227" s="6">
        <v>0.59777199999999997</v>
      </c>
      <c r="BI227" s="6">
        <v>0.5</v>
      </c>
      <c r="BJ227" s="6"/>
      <c r="BK227" s="6" t="s">
        <v>67</v>
      </c>
      <c r="BL227" s="6" t="s">
        <v>68</v>
      </c>
      <c r="BM227" s="6" t="s">
        <v>69</v>
      </c>
      <c r="BN227" s="6" t="s">
        <v>70</v>
      </c>
    </row>
    <row r="228" spans="1:80">
      <c r="A228" s="1" t="s">
        <v>338</v>
      </c>
      <c r="B228" s="1">
        <v>2015</v>
      </c>
      <c r="C228" s="1" t="s">
        <v>77</v>
      </c>
      <c r="D228" s="1">
        <v>16944412</v>
      </c>
      <c r="E228" s="1">
        <v>2913788</v>
      </c>
      <c r="F228" s="1">
        <v>9824791</v>
      </c>
      <c r="G228" s="1">
        <v>8910235</v>
      </c>
      <c r="H228" s="2">
        <f t="shared" si="45"/>
        <v>18735026</v>
      </c>
      <c r="I228" s="2">
        <f>H228+E228</f>
        <v>21648814</v>
      </c>
      <c r="J228" s="1">
        <v>20756704</v>
      </c>
      <c r="K228" s="2">
        <f t="shared" si="46"/>
        <v>38593226</v>
      </c>
      <c r="L228" s="1">
        <v>59349930</v>
      </c>
      <c r="M228" s="1">
        <v>6445633</v>
      </c>
      <c r="N228" s="1">
        <v>14548637</v>
      </c>
      <c r="O228" s="4">
        <f t="shared" si="47"/>
        <v>20994270</v>
      </c>
      <c r="P228" s="1">
        <v>7764297</v>
      </c>
      <c r="Q228" s="4">
        <f t="shared" si="48"/>
        <v>28758567</v>
      </c>
      <c r="R228" s="1">
        <v>17048671</v>
      </c>
      <c r="S228" s="1">
        <v>7299764</v>
      </c>
      <c r="T228" s="4">
        <f t="shared" si="49"/>
        <v>24348435</v>
      </c>
      <c r="U228" s="1">
        <v>53107002</v>
      </c>
      <c r="V228" s="1">
        <v>2015</v>
      </c>
      <c r="W228" s="8">
        <v>51686673</v>
      </c>
      <c r="X228" s="1">
        <v>0.313</v>
      </c>
      <c r="Y228" s="1">
        <v>0</v>
      </c>
      <c r="Z228" s="1">
        <v>0</v>
      </c>
      <c r="AA228" s="1">
        <v>143280000</v>
      </c>
      <c r="AB228" s="1">
        <v>0.1182608319374651</v>
      </c>
      <c r="AC228" s="1">
        <v>2.0336320491345618E-2</v>
      </c>
      <c r="AD228" s="1">
        <v>6.8570568118369632E-2</v>
      </c>
      <c r="AE228" s="1">
        <v>6.2187569793411501E-2</v>
      </c>
      <c r="AF228" s="2">
        <f t="shared" si="50"/>
        <v>0.13075813791178115</v>
      </c>
      <c r="AG228" s="2">
        <f>AF228+AC228</f>
        <v>0.15109445840312677</v>
      </c>
      <c r="AH228" s="1">
        <v>0.1448681183696259</v>
      </c>
      <c r="AI228" s="2">
        <f t="shared" si="51"/>
        <v>0.26935529034059186</v>
      </c>
      <c r="AJ228" s="1">
        <v>4.4986271635957566E-2</v>
      </c>
      <c r="AK228" s="1">
        <v>0.10153990089335567</v>
      </c>
      <c r="AL228" s="4">
        <f t="shared" si="52"/>
        <v>0.14652617252931324</v>
      </c>
      <c r="AM228" s="1">
        <v>5.4189677554438861E-2</v>
      </c>
      <c r="AN228" s="4">
        <f t="shared" si="53"/>
        <v>0.20071585008375209</v>
      </c>
      <c r="AO228" s="1">
        <v>0.11898849106644332</v>
      </c>
      <c r="AP228" s="1">
        <v>5.0947543271915134E-2</v>
      </c>
      <c r="AQ228" s="4">
        <f t="shared" si="54"/>
        <v>0.16993603433835847</v>
      </c>
      <c r="AR228" s="1">
        <v>0.37065188442211056</v>
      </c>
      <c r="AS228" s="1">
        <v>0.41422340871021773</v>
      </c>
      <c r="AT228" s="1">
        <v>0.21512470686767171</v>
      </c>
      <c r="AU228" s="1">
        <f t="shared" si="55"/>
        <v>0.36073892378559463</v>
      </c>
      <c r="AV228" s="1">
        <v>5</v>
      </c>
      <c r="AW228">
        <v>328</v>
      </c>
      <c r="AX228">
        <v>401</v>
      </c>
      <c r="AY228" s="6">
        <v>25</v>
      </c>
      <c r="AZ228" s="6">
        <v>24</v>
      </c>
      <c r="BA228" s="11">
        <f t="shared" si="56"/>
        <v>20.5</v>
      </c>
      <c r="BB228">
        <f t="shared" si="57"/>
        <v>25.0625</v>
      </c>
      <c r="BC228">
        <f t="shared" si="58"/>
        <v>-73</v>
      </c>
      <c r="BD228">
        <f t="shared" si="59"/>
        <v>-4.5625</v>
      </c>
      <c r="BE228" s="10">
        <v>5.9423415019049699</v>
      </c>
      <c r="BF228" s="6">
        <v>26.14865</v>
      </c>
      <c r="BG228" s="6">
        <v>28.853909999999999</v>
      </c>
      <c r="BH228" s="6">
        <v>0.63172600000000001</v>
      </c>
      <c r="BI228" s="6">
        <v>0.58108099999999996</v>
      </c>
      <c r="BJ228" s="6"/>
      <c r="BK228" s="6" t="s">
        <v>67</v>
      </c>
      <c r="BL228" s="6" t="s">
        <v>96</v>
      </c>
      <c r="BM228" s="6" t="s">
        <v>70</v>
      </c>
      <c r="BN228" s="6" t="s">
        <v>70</v>
      </c>
    </row>
    <row r="229" spans="1:80">
      <c r="A229" s="1" t="s">
        <v>339</v>
      </c>
      <c r="B229" s="1">
        <v>2015</v>
      </c>
      <c r="C229" s="1" t="s">
        <v>79</v>
      </c>
      <c r="D229" s="1">
        <v>3732738</v>
      </c>
      <c r="E229" s="1">
        <v>7707163</v>
      </c>
      <c r="F229" s="1">
        <v>12781663</v>
      </c>
      <c r="G229" s="1">
        <v>5735146</v>
      </c>
      <c r="H229" s="2">
        <f t="shared" si="45"/>
        <v>18516809</v>
      </c>
      <c r="I229" s="2">
        <f>H229+E229</f>
        <v>26223972</v>
      </c>
      <c r="J229" s="1">
        <v>15086305</v>
      </c>
      <c r="K229" s="2">
        <f t="shared" si="46"/>
        <v>29956710</v>
      </c>
      <c r="L229" s="1">
        <v>45043015</v>
      </c>
      <c r="M229" s="1">
        <v>16827353</v>
      </c>
      <c r="N229" s="1">
        <v>27384012</v>
      </c>
      <c r="O229" s="4">
        <f t="shared" si="47"/>
        <v>44211365</v>
      </c>
      <c r="P229" s="1">
        <v>7282129</v>
      </c>
      <c r="Q229" s="4">
        <f t="shared" si="48"/>
        <v>51493494</v>
      </c>
      <c r="R229" s="1">
        <v>5657363</v>
      </c>
      <c r="S229" s="1">
        <v>16809630</v>
      </c>
      <c r="T229" s="4">
        <f t="shared" si="49"/>
        <v>22466993</v>
      </c>
      <c r="U229" s="1">
        <v>73960487</v>
      </c>
      <c r="V229" s="1">
        <v>2015</v>
      </c>
      <c r="W229" s="8">
        <v>32949072</v>
      </c>
      <c r="X229" s="1">
        <v>0.5</v>
      </c>
      <c r="Y229" s="1">
        <v>0</v>
      </c>
      <c r="Z229" s="1">
        <v>0</v>
      </c>
      <c r="AA229" s="1">
        <v>143280000</v>
      </c>
      <c r="AB229" s="1">
        <v>2.6052051926298156E-2</v>
      </c>
      <c r="AC229" s="1">
        <v>5.3790919877163598E-2</v>
      </c>
      <c r="AD229" s="1">
        <v>8.9207586543830264E-2</v>
      </c>
      <c r="AE229" s="1">
        <v>4.0027540480178668E-2</v>
      </c>
      <c r="AF229" s="2">
        <f t="shared" si="50"/>
        <v>0.12923512702400894</v>
      </c>
      <c r="AG229" s="2">
        <f>AF229+AC229</f>
        <v>0.18302604690117252</v>
      </c>
      <c r="AH229" s="1">
        <v>0.10529246929089894</v>
      </c>
      <c r="AI229" s="2">
        <f t="shared" si="51"/>
        <v>0.20907809882747069</v>
      </c>
      <c r="AJ229" s="1">
        <v>0.11744383724176438</v>
      </c>
      <c r="AK229" s="1">
        <v>0.19112236180904524</v>
      </c>
      <c r="AL229" s="4">
        <f t="shared" si="52"/>
        <v>0.30856619905080962</v>
      </c>
      <c r="AM229" s="1">
        <v>5.0824462590731437E-2</v>
      </c>
      <c r="AN229" s="4">
        <f t="shared" si="53"/>
        <v>0.35939066164154104</v>
      </c>
      <c r="AO229" s="1">
        <v>3.9484666387493018E-2</v>
      </c>
      <c r="AP229" s="1">
        <v>0.11732014237855946</v>
      </c>
      <c r="AQ229" s="4">
        <f t="shared" si="54"/>
        <v>0.15680480876605249</v>
      </c>
      <c r="AR229" s="1">
        <v>0.5161954704075935</v>
      </c>
      <c r="AS229" s="1">
        <v>0.31437056811836961</v>
      </c>
      <c r="AT229" s="1">
        <v>0.16943396147403689</v>
      </c>
      <c r="AU229" s="1">
        <f t="shared" si="55"/>
        <v>0.22996281407035177</v>
      </c>
      <c r="AV229" s="1">
        <v>8</v>
      </c>
      <c r="AW229">
        <v>379</v>
      </c>
      <c r="AX229">
        <v>359</v>
      </c>
      <c r="AY229" s="6">
        <v>12</v>
      </c>
      <c r="AZ229" s="6">
        <v>15</v>
      </c>
      <c r="BA229" s="11">
        <f t="shared" si="56"/>
        <v>23.6875</v>
      </c>
      <c r="BB229">
        <f t="shared" si="57"/>
        <v>22.4375</v>
      </c>
      <c r="BC229">
        <f t="shared" si="58"/>
        <v>20</v>
      </c>
      <c r="BD229">
        <f t="shared" si="59"/>
        <v>1.25</v>
      </c>
      <c r="BE229" s="10">
        <v>8.6433653419401502</v>
      </c>
      <c r="BF229" s="6">
        <v>25.914290000000001</v>
      </c>
      <c r="BG229" s="6">
        <v>27.590949999999999</v>
      </c>
      <c r="BH229" s="6">
        <v>0.64388699999999999</v>
      </c>
      <c r="BI229" s="6">
        <v>0.55714300000000005</v>
      </c>
      <c r="BJ229" s="6"/>
      <c r="BK229" s="6" t="s">
        <v>73</v>
      </c>
      <c r="BL229" s="6" t="s">
        <v>96</v>
      </c>
      <c r="BM229" s="6" t="s">
        <v>93</v>
      </c>
      <c r="BN229" s="6" t="s">
        <v>93</v>
      </c>
    </row>
    <row r="230" spans="1:80">
      <c r="A230" s="1" t="s">
        <v>340</v>
      </c>
      <c r="B230" s="1">
        <v>2015</v>
      </c>
      <c r="C230" s="1" t="s">
        <v>83</v>
      </c>
      <c r="D230" s="1">
        <v>15429000</v>
      </c>
      <c r="E230" s="1">
        <v>9847396</v>
      </c>
      <c r="F230" s="1">
        <v>8456702</v>
      </c>
      <c r="G230" s="1">
        <v>8146666</v>
      </c>
      <c r="H230" s="2">
        <f t="shared" si="45"/>
        <v>16603368</v>
      </c>
      <c r="I230" s="2">
        <f>H230+E230</f>
        <v>26450764</v>
      </c>
      <c r="J230" s="1">
        <v>21230527</v>
      </c>
      <c r="K230" s="2">
        <f t="shared" si="46"/>
        <v>41879764</v>
      </c>
      <c r="L230" s="1">
        <v>63110291</v>
      </c>
      <c r="M230" s="1">
        <v>6489428</v>
      </c>
      <c r="N230" s="1">
        <v>23632158</v>
      </c>
      <c r="O230" s="4">
        <f t="shared" si="47"/>
        <v>30121586</v>
      </c>
      <c r="P230" s="1">
        <v>18067227</v>
      </c>
      <c r="Q230" s="4">
        <f t="shared" si="48"/>
        <v>48188813</v>
      </c>
      <c r="R230" s="1">
        <v>5187392</v>
      </c>
      <c r="S230" s="1">
        <v>4940895</v>
      </c>
      <c r="T230" s="4">
        <f t="shared" si="49"/>
        <v>10128287</v>
      </c>
      <c r="U230" s="1">
        <v>58317100</v>
      </c>
      <c r="V230" s="1">
        <v>2015</v>
      </c>
      <c r="W230" s="8">
        <v>8785308</v>
      </c>
      <c r="X230" s="1">
        <v>0.93799999999999994</v>
      </c>
      <c r="Y230" s="1">
        <v>1</v>
      </c>
      <c r="Z230" s="1">
        <v>0</v>
      </c>
      <c r="AA230" s="1">
        <v>143280000</v>
      </c>
      <c r="AB230" s="1">
        <v>0.10768425460636516</v>
      </c>
      <c r="AC230" s="1">
        <v>6.8728336125069789E-2</v>
      </c>
      <c r="AD230" s="1">
        <v>5.9022208263539919E-2</v>
      </c>
      <c r="AE230" s="1">
        <v>5.6858361250697931E-2</v>
      </c>
      <c r="AF230" s="2">
        <f t="shared" si="50"/>
        <v>0.11588056951423785</v>
      </c>
      <c r="AG230" s="2">
        <f>AF230+AC230</f>
        <v>0.18460890563930765</v>
      </c>
      <c r="AH230" s="1">
        <v>0.14817509073143495</v>
      </c>
      <c r="AI230" s="2">
        <f t="shared" si="51"/>
        <v>0.29229316024567281</v>
      </c>
      <c r="AJ230" s="1">
        <v>4.5291931881630373E-2</v>
      </c>
      <c r="AK230" s="1">
        <v>0.16493689279731993</v>
      </c>
      <c r="AL230" s="4">
        <f t="shared" si="52"/>
        <v>0.21022882467895032</v>
      </c>
      <c r="AM230" s="1">
        <v>0.12609734087102178</v>
      </c>
      <c r="AN230" s="4">
        <f t="shared" si="53"/>
        <v>0.33632616554997208</v>
      </c>
      <c r="AO230" s="1">
        <v>3.6204578447794525E-2</v>
      </c>
      <c r="AP230" s="1">
        <v>3.448419179229481E-2</v>
      </c>
      <c r="AQ230" s="4">
        <f t="shared" si="54"/>
        <v>7.0688770240089335E-2</v>
      </c>
      <c r="AR230" s="1">
        <v>0.40701493579006143</v>
      </c>
      <c r="AS230" s="1">
        <v>0.44046825097710773</v>
      </c>
      <c r="AT230" s="1">
        <v>0.15251681323283084</v>
      </c>
      <c r="AU230" s="1">
        <f t="shared" si="55"/>
        <v>6.1315661641541036E-2</v>
      </c>
      <c r="AV230" s="1">
        <v>15</v>
      </c>
      <c r="AW230">
        <v>500</v>
      </c>
      <c r="AX230">
        <v>308</v>
      </c>
      <c r="AY230" s="6">
        <v>1</v>
      </c>
      <c r="AZ230" s="6">
        <v>6</v>
      </c>
      <c r="BA230" s="11">
        <f t="shared" si="56"/>
        <v>31.25</v>
      </c>
      <c r="BB230">
        <f t="shared" si="57"/>
        <v>19.25</v>
      </c>
      <c r="BC230">
        <f t="shared" si="58"/>
        <v>192</v>
      </c>
      <c r="BD230">
        <f t="shared" si="59"/>
        <v>12</v>
      </c>
      <c r="BE230" s="10">
        <v>13.638807282650401</v>
      </c>
      <c r="BF230" s="6">
        <v>26.854839999999999</v>
      </c>
      <c r="BG230" s="6">
        <v>28.11045</v>
      </c>
      <c r="BH230" s="6">
        <v>0.60841100000000004</v>
      </c>
      <c r="BI230" s="6">
        <v>0.64516099999999998</v>
      </c>
      <c r="BJ230" s="6"/>
      <c r="BK230" s="6" t="s">
        <v>80</v>
      </c>
      <c r="BL230" s="6" t="s">
        <v>68</v>
      </c>
      <c r="BM230" s="6" t="s">
        <v>92</v>
      </c>
      <c r="BN230" s="6" t="s">
        <v>70</v>
      </c>
    </row>
    <row r="231" spans="1:80">
      <c r="A231" s="1" t="s">
        <v>341</v>
      </c>
      <c r="B231" s="1">
        <v>2015</v>
      </c>
      <c r="C231" s="1" t="s">
        <v>85</v>
      </c>
      <c r="D231" s="1">
        <v>16725388</v>
      </c>
      <c r="E231" s="1">
        <v>11448751</v>
      </c>
      <c r="F231" s="1">
        <v>12781274</v>
      </c>
      <c r="G231" s="1">
        <v>7560294</v>
      </c>
      <c r="H231" s="2">
        <f t="shared" si="45"/>
        <v>20341568</v>
      </c>
      <c r="I231" s="2">
        <f>H231+E231</f>
        <v>31790319</v>
      </c>
      <c r="J231" s="1">
        <v>17921204</v>
      </c>
      <c r="K231" s="2">
        <f t="shared" si="46"/>
        <v>48515707</v>
      </c>
      <c r="L231" s="1">
        <v>66436911</v>
      </c>
      <c r="M231" s="1">
        <v>5097132</v>
      </c>
      <c r="N231" s="1">
        <v>17841113</v>
      </c>
      <c r="O231" s="4">
        <f t="shared" si="47"/>
        <v>22938245</v>
      </c>
      <c r="P231" s="1">
        <v>4210126</v>
      </c>
      <c r="Q231" s="4">
        <f t="shared" si="48"/>
        <v>27148371</v>
      </c>
      <c r="R231" s="1">
        <v>8796854</v>
      </c>
      <c r="S231" s="1">
        <v>6925380</v>
      </c>
      <c r="T231" s="4">
        <f t="shared" si="49"/>
        <v>15722234</v>
      </c>
      <c r="U231" s="1">
        <v>42870605</v>
      </c>
      <c r="V231" s="1">
        <v>2015</v>
      </c>
      <c r="W231" s="8">
        <v>22513710</v>
      </c>
      <c r="X231" s="1">
        <v>0.375</v>
      </c>
      <c r="Y231" s="1">
        <v>0</v>
      </c>
      <c r="Z231" s="1">
        <v>0</v>
      </c>
      <c r="AA231" s="1">
        <v>143280000</v>
      </c>
      <c r="AB231" s="1">
        <v>0.1167321887213847</v>
      </c>
      <c r="AC231" s="1">
        <v>7.9904738972640985E-2</v>
      </c>
      <c r="AD231" s="1">
        <v>8.920487158012283E-2</v>
      </c>
      <c r="AE231" s="1">
        <v>5.2765871021775546E-2</v>
      </c>
      <c r="AF231" s="2">
        <f t="shared" si="50"/>
        <v>0.14197074260189838</v>
      </c>
      <c r="AG231" s="2">
        <f>AF231+AC231</f>
        <v>0.22187548157453935</v>
      </c>
      <c r="AH231" s="1">
        <v>0.12507819653824678</v>
      </c>
      <c r="AI231" s="2">
        <f t="shared" si="51"/>
        <v>0.33860767029592409</v>
      </c>
      <c r="AJ231" s="1">
        <v>3.5574623115577887E-2</v>
      </c>
      <c r="AK231" s="1">
        <v>0.12451921412618649</v>
      </c>
      <c r="AL231" s="4">
        <f t="shared" si="52"/>
        <v>0.16009383724176438</v>
      </c>
      <c r="AM231" s="1">
        <v>2.938390563930765E-2</v>
      </c>
      <c r="AN231" s="4">
        <f t="shared" si="53"/>
        <v>0.18947774288107203</v>
      </c>
      <c r="AO231" s="1">
        <v>6.1396245114461193E-2</v>
      </c>
      <c r="AP231" s="1">
        <v>4.8334589614740367E-2</v>
      </c>
      <c r="AQ231" s="4">
        <f t="shared" si="54"/>
        <v>0.10973083472920156</v>
      </c>
      <c r="AR231" s="1">
        <v>0.29920857761027359</v>
      </c>
      <c r="AS231" s="1">
        <v>0.46368586683417085</v>
      </c>
      <c r="AT231" s="1">
        <v>0.23710555555555557</v>
      </c>
      <c r="AU231" s="1">
        <f t="shared" si="55"/>
        <v>0.15713086264656617</v>
      </c>
      <c r="AV231" s="1">
        <v>6</v>
      </c>
      <c r="AW231">
        <v>335</v>
      </c>
      <c r="AX231">
        <v>397</v>
      </c>
      <c r="AY231" s="6">
        <v>23</v>
      </c>
      <c r="AZ231" s="6">
        <v>20</v>
      </c>
      <c r="BA231" s="11">
        <f t="shared" si="56"/>
        <v>20.9375</v>
      </c>
      <c r="BB231">
        <f t="shared" si="57"/>
        <v>24.8125</v>
      </c>
      <c r="BC231">
        <f t="shared" si="58"/>
        <v>-62</v>
      </c>
      <c r="BD231">
        <f t="shared" si="59"/>
        <v>-3.875</v>
      </c>
      <c r="BE231" s="10">
        <v>6.2618174399736404</v>
      </c>
      <c r="BF231" s="6">
        <v>26.19697</v>
      </c>
      <c r="BG231" s="6">
        <v>28.816040000000001</v>
      </c>
      <c r="BH231" s="6">
        <v>0.65416799999999997</v>
      </c>
      <c r="BI231" s="6">
        <v>0.42424200000000001</v>
      </c>
      <c r="BJ231" s="6"/>
      <c r="BK231" s="6" t="s">
        <v>67</v>
      </c>
      <c r="BL231" s="6" t="s">
        <v>96</v>
      </c>
      <c r="BM231" s="6" t="s">
        <v>70</v>
      </c>
      <c r="BN231" s="6" t="s">
        <v>70</v>
      </c>
    </row>
    <row r="232" spans="1:80">
      <c r="A232" s="1" t="s">
        <v>342</v>
      </c>
      <c r="B232" s="1">
        <v>2015</v>
      </c>
      <c r="C232" s="1" t="s">
        <v>87</v>
      </c>
      <c r="D232" s="1">
        <v>10238778</v>
      </c>
      <c r="E232" s="1">
        <v>4040770</v>
      </c>
      <c r="F232" s="1">
        <v>18726078</v>
      </c>
      <c r="G232" s="1">
        <v>3962305</v>
      </c>
      <c r="H232" s="2">
        <f t="shared" si="45"/>
        <v>22688383</v>
      </c>
      <c r="I232" s="2">
        <f>H232+E232</f>
        <v>26729153</v>
      </c>
      <c r="J232" s="1">
        <v>26041777</v>
      </c>
      <c r="K232" s="2">
        <f t="shared" si="46"/>
        <v>36967931</v>
      </c>
      <c r="L232" s="1">
        <v>63009708</v>
      </c>
      <c r="M232" s="1">
        <v>14160300</v>
      </c>
      <c r="N232" s="1">
        <v>11753976</v>
      </c>
      <c r="O232" s="4">
        <f t="shared" si="47"/>
        <v>25914276</v>
      </c>
      <c r="P232" s="1">
        <v>20598622</v>
      </c>
      <c r="Q232" s="4">
        <f t="shared" si="48"/>
        <v>46512898</v>
      </c>
      <c r="R232" s="1">
        <v>8119150</v>
      </c>
      <c r="S232" s="1">
        <v>16808890</v>
      </c>
      <c r="T232" s="4">
        <f t="shared" si="49"/>
        <v>24928040</v>
      </c>
      <c r="U232" s="1">
        <v>71440938</v>
      </c>
      <c r="V232" s="1">
        <v>2015</v>
      </c>
      <c r="W232" s="8">
        <v>4964686</v>
      </c>
      <c r="X232" s="1">
        <v>0.75</v>
      </c>
      <c r="Y232" s="1">
        <v>1</v>
      </c>
      <c r="Z232" s="1">
        <v>0</v>
      </c>
      <c r="AA232" s="1">
        <v>143280000</v>
      </c>
      <c r="AB232" s="1">
        <v>7.1459924623115581E-2</v>
      </c>
      <c r="AC232" s="1">
        <v>2.8201912339475152E-2</v>
      </c>
      <c r="AD232" s="1">
        <v>0.13069568676716917</v>
      </c>
      <c r="AE232" s="1">
        <v>2.765427833612507E-2</v>
      </c>
      <c r="AF232" s="2">
        <f t="shared" si="50"/>
        <v>0.15834996510329424</v>
      </c>
      <c r="AG232" s="2">
        <f>AF232+AC232</f>
        <v>0.18655187744276941</v>
      </c>
      <c r="AH232" s="1">
        <v>0.18175444584031267</v>
      </c>
      <c r="AI232" s="2">
        <f t="shared" si="51"/>
        <v>0.25801180206588498</v>
      </c>
      <c r="AJ232" s="1">
        <v>9.8829564489112232E-2</v>
      </c>
      <c r="AK232" s="1">
        <v>8.2035008375209384E-2</v>
      </c>
      <c r="AL232" s="4">
        <f t="shared" si="52"/>
        <v>0.18086457286432162</v>
      </c>
      <c r="AM232" s="1">
        <v>0.14376481016192072</v>
      </c>
      <c r="AN232" s="4">
        <f t="shared" si="53"/>
        <v>0.32462938302624234</v>
      </c>
      <c r="AO232" s="1">
        <v>5.6666317699609156E-2</v>
      </c>
      <c r="AP232" s="1">
        <v>0.11731497766610832</v>
      </c>
      <c r="AQ232" s="4">
        <f t="shared" si="54"/>
        <v>0.17398129536571749</v>
      </c>
      <c r="AR232" s="1">
        <v>0.49861067839195977</v>
      </c>
      <c r="AS232" s="1">
        <v>0.43976624790619767</v>
      </c>
      <c r="AT232" s="1">
        <v>6.1623073701842612E-2</v>
      </c>
      <c r="AU232" s="1">
        <f t="shared" si="55"/>
        <v>3.4650237297599105E-2</v>
      </c>
      <c r="AV232" s="1">
        <v>12</v>
      </c>
      <c r="AW232">
        <v>419</v>
      </c>
      <c r="AX232">
        <v>279</v>
      </c>
      <c r="AY232" s="6">
        <v>7</v>
      </c>
      <c r="AZ232" s="6">
        <v>2</v>
      </c>
      <c r="BA232" s="11">
        <f t="shared" si="56"/>
        <v>26.1875</v>
      </c>
      <c r="BB232">
        <f t="shared" si="57"/>
        <v>17.4375</v>
      </c>
      <c r="BC232">
        <f t="shared" si="58"/>
        <v>140</v>
      </c>
      <c r="BD232">
        <f t="shared" si="59"/>
        <v>8.75</v>
      </c>
      <c r="BE232" s="10">
        <v>12.128557393598401</v>
      </c>
      <c r="BF232" s="6">
        <v>26.428570000000001</v>
      </c>
      <c r="BG232" s="6">
        <v>27.883430000000001</v>
      </c>
      <c r="BH232" s="6">
        <v>0.55408800000000002</v>
      </c>
      <c r="BI232" s="6">
        <v>0.76785700000000001</v>
      </c>
      <c r="BJ232" s="6"/>
      <c r="BK232" s="6" t="s">
        <v>80</v>
      </c>
      <c r="BL232" s="6" t="s">
        <v>74</v>
      </c>
      <c r="BM232" s="6" t="s">
        <v>81</v>
      </c>
      <c r="BN232" s="6" t="s">
        <v>75</v>
      </c>
    </row>
    <row r="233" spans="1:80">
      <c r="A233" s="1" t="s">
        <v>343</v>
      </c>
      <c r="B233" s="1">
        <v>2015</v>
      </c>
      <c r="C233" s="1" t="s">
        <v>89</v>
      </c>
      <c r="D233" s="1">
        <v>8093954</v>
      </c>
      <c r="E233" s="1">
        <v>1964338</v>
      </c>
      <c r="F233" s="1">
        <v>14792090</v>
      </c>
      <c r="G233" s="1">
        <v>5193030</v>
      </c>
      <c r="H233" s="2">
        <f t="shared" si="45"/>
        <v>19985120</v>
      </c>
      <c r="I233" s="2">
        <f>H233+E233</f>
        <v>21949458</v>
      </c>
      <c r="J233" s="1">
        <v>27241456</v>
      </c>
      <c r="K233" s="2">
        <f t="shared" si="46"/>
        <v>30043412</v>
      </c>
      <c r="L233" s="1">
        <v>57284868</v>
      </c>
      <c r="M233" s="1">
        <v>15138196</v>
      </c>
      <c r="N233" s="1">
        <v>14097291</v>
      </c>
      <c r="O233" s="4">
        <f t="shared" si="47"/>
        <v>29235487</v>
      </c>
      <c r="P233" s="1">
        <v>9223625</v>
      </c>
      <c r="Q233" s="4">
        <f t="shared" si="48"/>
        <v>38459112</v>
      </c>
      <c r="R233" s="1">
        <v>11656943</v>
      </c>
      <c r="S233" s="1">
        <v>23514408</v>
      </c>
      <c r="T233" s="4">
        <f t="shared" si="49"/>
        <v>35171351</v>
      </c>
      <c r="U233" s="1">
        <v>73630463</v>
      </c>
      <c r="V233" s="1">
        <v>2015</v>
      </c>
      <c r="W233" s="8">
        <v>30535195</v>
      </c>
      <c r="X233" s="1">
        <v>0.188</v>
      </c>
      <c r="Y233" s="1">
        <v>0</v>
      </c>
      <c r="Z233" s="1">
        <v>0</v>
      </c>
      <c r="AA233" s="1">
        <v>143280000</v>
      </c>
      <c r="AB233" s="1">
        <v>5.6490466219988836E-2</v>
      </c>
      <c r="AC233" s="1">
        <v>1.3709785036292573E-2</v>
      </c>
      <c r="AD233" s="1">
        <v>0.10323904243439419</v>
      </c>
      <c r="AE233" s="1">
        <v>3.6243927973199329E-2</v>
      </c>
      <c r="AF233" s="2">
        <f t="shared" si="50"/>
        <v>0.13948297040759353</v>
      </c>
      <c r="AG233" s="2">
        <f>AF233+AC233</f>
        <v>0.15319275544388611</v>
      </c>
      <c r="AH233" s="1">
        <v>0.19012741485203796</v>
      </c>
      <c r="AI233" s="2">
        <f t="shared" si="51"/>
        <v>0.20968322166387493</v>
      </c>
      <c r="AJ233" s="1">
        <v>0.10565463428252372</v>
      </c>
      <c r="AK233" s="1">
        <v>9.838980318257956E-2</v>
      </c>
      <c r="AL233" s="4">
        <f t="shared" si="52"/>
        <v>0.20404443746510328</v>
      </c>
      <c r="AM233" s="1">
        <v>6.4374825516471251E-2</v>
      </c>
      <c r="AN233" s="4">
        <f t="shared" si="53"/>
        <v>0.26841926298157454</v>
      </c>
      <c r="AO233" s="1">
        <v>8.1357781965382472E-2</v>
      </c>
      <c r="AP233" s="1">
        <v>0.16411507537688441</v>
      </c>
      <c r="AQ233" s="4">
        <f t="shared" si="54"/>
        <v>0.24547285734226687</v>
      </c>
      <c r="AR233" s="1">
        <v>0.51389212032384146</v>
      </c>
      <c r="AS233" s="1">
        <v>0.39981063651591292</v>
      </c>
      <c r="AT233" s="1">
        <v>8.6297243160245563E-2</v>
      </c>
      <c r="AU233" s="1">
        <f t="shared" si="55"/>
        <v>0.21311554299274149</v>
      </c>
      <c r="AV233" s="1">
        <v>3</v>
      </c>
      <c r="AW233">
        <v>278</v>
      </c>
      <c r="AX233">
        <v>432</v>
      </c>
      <c r="AY233" s="6">
        <v>30</v>
      </c>
      <c r="AZ233" s="6">
        <v>29</v>
      </c>
      <c r="BA233" s="11">
        <f t="shared" si="56"/>
        <v>17.375</v>
      </c>
      <c r="BB233">
        <f t="shared" si="57"/>
        <v>27</v>
      </c>
      <c r="BC233">
        <f t="shared" si="58"/>
        <v>-154</v>
      </c>
      <c r="BD233">
        <f t="shared" si="59"/>
        <v>-9.625</v>
      </c>
      <c r="BE233" s="10">
        <v>3.5898368670356202</v>
      </c>
      <c r="BF233" s="6">
        <v>25.952380000000002</v>
      </c>
      <c r="BG233" s="6">
        <v>28.478169999999999</v>
      </c>
      <c r="BH233" s="6">
        <v>0.59487100000000004</v>
      </c>
      <c r="BI233" s="6">
        <v>0.57142899999999996</v>
      </c>
      <c r="BJ233" s="6"/>
      <c r="BK233" s="6" t="s">
        <v>67</v>
      </c>
      <c r="BL233" s="6" t="s">
        <v>68</v>
      </c>
      <c r="BM233" s="6" t="s">
        <v>69</v>
      </c>
      <c r="BN233" s="6" t="s">
        <v>70</v>
      </c>
    </row>
    <row r="234" spans="1:80">
      <c r="A234" s="1" t="s">
        <v>344</v>
      </c>
      <c r="B234" s="1">
        <v>2015</v>
      </c>
      <c r="C234" s="1" t="s">
        <v>91</v>
      </c>
      <c r="D234" s="1">
        <v>16983000</v>
      </c>
      <c r="E234" s="1">
        <v>3636824</v>
      </c>
      <c r="F234" s="1">
        <v>11395882</v>
      </c>
      <c r="G234" s="1">
        <v>8455213</v>
      </c>
      <c r="H234" s="2">
        <f t="shared" si="45"/>
        <v>19851095</v>
      </c>
      <c r="I234" s="2">
        <f>H234+E234</f>
        <v>23487919</v>
      </c>
      <c r="J234" s="1">
        <v>17609241</v>
      </c>
      <c r="K234" s="2">
        <f t="shared" si="46"/>
        <v>40470919</v>
      </c>
      <c r="L234" s="1">
        <v>58080160</v>
      </c>
      <c r="M234" s="1">
        <v>3212519</v>
      </c>
      <c r="N234" s="1">
        <v>16676513</v>
      </c>
      <c r="O234" s="4">
        <f t="shared" si="47"/>
        <v>19889032</v>
      </c>
      <c r="P234" s="1">
        <v>12864734</v>
      </c>
      <c r="Q234" s="4">
        <f t="shared" si="48"/>
        <v>32753766</v>
      </c>
      <c r="R234" s="1">
        <v>5252185</v>
      </c>
      <c r="S234" s="1">
        <v>24161659</v>
      </c>
      <c r="T234" s="4">
        <f t="shared" si="49"/>
        <v>29413844</v>
      </c>
      <c r="U234" s="1">
        <v>62167610</v>
      </c>
      <c r="V234" s="1">
        <v>2015</v>
      </c>
      <c r="W234" s="8">
        <v>38468852</v>
      </c>
      <c r="X234" s="1">
        <v>0.25</v>
      </c>
      <c r="Y234" s="1">
        <v>0</v>
      </c>
      <c r="Z234" s="1">
        <v>0</v>
      </c>
      <c r="AA234" s="1">
        <v>143280000</v>
      </c>
      <c r="AB234" s="1">
        <v>0.11853015075376884</v>
      </c>
      <c r="AC234" s="1">
        <v>2.5382635399218315E-2</v>
      </c>
      <c r="AD234" s="1">
        <v>7.9535748185371305E-2</v>
      </c>
      <c r="AE234" s="1">
        <v>5.901181602456728E-2</v>
      </c>
      <c r="AF234" s="2">
        <f t="shared" si="50"/>
        <v>0.13854756420993858</v>
      </c>
      <c r="AG234" s="2">
        <f>AF234+AC234</f>
        <v>0.16393019960915689</v>
      </c>
      <c r="AH234" s="1">
        <v>0.12290090033500838</v>
      </c>
      <c r="AI234" s="2">
        <f t="shared" si="51"/>
        <v>0.28246035036292577</v>
      </c>
      <c r="AJ234" s="1">
        <v>2.2421266052484644E-2</v>
      </c>
      <c r="AK234" s="1">
        <v>0.1163910734226689</v>
      </c>
      <c r="AL234" s="4">
        <f t="shared" si="52"/>
        <v>0.13881233947515353</v>
      </c>
      <c r="AM234" s="1">
        <v>8.978736739251815E-2</v>
      </c>
      <c r="AN234" s="4">
        <f t="shared" si="53"/>
        <v>0.22859970686767167</v>
      </c>
      <c r="AO234" s="1">
        <v>3.665679089893914E-2</v>
      </c>
      <c r="AP234" s="1">
        <v>0.16863246091568956</v>
      </c>
      <c r="AQ234" s="4">
        <f t="shared" si="54"/>
        <v>0.2052892518146287</v>
      </c>
      <c r="AR234" s="1">
        <v>0.43388895868230037</v>
      </c>
      <c r="AS234" s="1">
        <v>0.40536125069793411</v>
      </c>
      <c r="AT234" s="1">
        <v>0.16074979061976546</v>
      </c>
      <c r="AU234" s="1">
        <f t="shared" si="55"/>
        <v>0.26848724176437744</v>
      </c>
      <c r="AV234" s="1">
        <v>4</v>
      </c>
      <c r="AW234">
        <v>275</v>
      </c>
      <c r="AX234">
        <v>374</v>
      </c>
      <c r="AY234" s="6">
        <v>31</v>
      </c>
      <c r="AZ234" s="6">
        <v>16</v>
      </c>
      <c r="BA234" s="11">
        <f t="shared" si="56"/>
        <v>17.1875</v>
      </c>
      <c r="BB234">
        <f t="shared" si="57"/>
        <v>23.375</v>
      </c>
      <c r="BC234">
        <f t="shared" si="58"/>
        <v>-99</v>
      </c>
      <c r="BD234">
        <f t="shared" si="59"/>
        <v>-6.1875</v>
      </c>
      <c r="BE234" s="10">
        <v>5.1872165573790001</v>
      </c>
      <c r="BF234" s="6">
        <v>26.046150000000001</v>
      </c>
      <c r="BG234" s="6">
        <v>28.306080000000001</v>
      </c>
      <c r="BH234" s="6">
        <v>0.61482499999999995</v>
      </c>
      <c r="BI234" s="6">
        <v>0.53030299999999997</v>
      </c>
      <c r="BJ234" s="6"/>
      <c r="BK234" s="6" t="s">
        <v>80</v>
      </c>
      <c r="BL234" s="6" t="s">
        <v>68</v>
      </c>
      <c r="BM234" s="6" t="s">
        <v>92</v>
      </c>
      <c r="BN234" s="6" t="s">
        <v>70</v>
      </c>
    </row>
    <row r="235" spans="1:80">
      <c r="A235" s="1" t="s">
        <v>345</v>
      </c>
      <c r="B235" s="1">
        <v>2015</v>
      </c>
      <c r="C235" s="1" t="s">
        <v>95</v>
      </c>
      <c r="D235" s="1">
        <v>19067139</v>
      </c>
      <c r="E235" s="1">
        <v>2115642</v>
      </c>
      <c r="F235" s="1">
        <v>23083075</v>
      </c>
      <c r="G235" s="1">
        <v>7984142</v>
      </c>
      <c r="H235" s="2">
        <f t="shared" si="45"/>
        <v>31067217</v>
      </c>
      <c r="I235" s="2">
        <f>H235+E235</f>
        <v>33182859</v>
      </c>
      <c r="J235" s="1">
        <v>25231140</v>
      </c>
      <c r="K235" s="2">
        <f t="shared" si="46"/>
        <v>52249998</v>
      </c>
      <c r="L235" s="1">
        <v>77481138</v>
      </c>
      <c r="M235" s="1">
        <v>9780662</v>
      </c>
      <c r="N235" s="1">
        <v>21029315</v>
      </c>
      <c r="O235" s="4">
        <f t="shared" si="47"/>
        <v>30809977</v>
      </c>
      <c r="P235" s="1">
        <v>3297368</v>
      </c>
      <c r="Q235" s="4">
        <f t="shared" si="48"/>
        <v>34107345</v>
      </c>
      <c r="R235" s="1">
        <v>11305871</v>
      </c>
      <c r="S235" s="1">
        <v>13543730</v>
      </c>
      <c r="T235" s="4">
        <f t="shared" si="49"/>
        <v>24849601</v>
      </c>
      <c r="U235" s="1">
        <v>58956946</v>
      </c>
      <c r="V235" s="1">
        <v>2015</v>
      </c>
      <c r="W235" s="8">
        <v>4281668</v>
      </c>
      <c r="X235" s="1">
        <v>0.75</v>
      </c>
      <c r="Y235" s="1">
        <v>1</v>
      </c>
      <c r="Z235" s="1">
        <v>1</v>
      </c>
      <c r="AA235" s="1">
        <v>143280000</v>
      </c>
      <c r="AB235" s="1">
        <v>0.13307606783919598</v>
      </c>
      <c r="AC235" s="1">
        <v>1.4765787269681741E-2</v>
      </c>
      <c r="AD235" s="1">
        <v>0.16110465522054718</v>
      </c>
      <c r="AE235" s="1">
        <v>5.5724050809603576E-2</v>
      </c>
      <c r="AF235" s="2">
        <f t="shared" si="50"/>
        <v>0.21682870603015075</v>
      </c>
      <c r="AG235" s="2">
        <f>AF235+AC235</f>
        <v>0.2315944932998325</v>
      </c>
      <c r="AH235" s="1">
        <v>0.17609673366834172</v>
      </c>
      <c r="AI235" s="2">
        <f t="shared" si="51"/>
        <v>0.36467056113902846</v>
      </c>
      <c r="AJ235" s="1">
        <v>6.8262576772752659E-2</v>
      </c>
      <c r="AK235" s="1">
        <v>0.14677076353992183</v>
      </c>
      <c r="AL235" s="4">
        <f t="shared" si="52"/>
        <v>0.21503334031267449</v>
      </c>
      <c r="AM235" s="1">
        <v>2.3013456169737576E-2</v>
      </c>
      <c r="AN235" s="4">
        <f t="shared" si="53"/>
        <v>0.23804679648241206</v>
      </c>
      <c r="AO235" s="1">
        <v>7.8907530709101059E-2</v>
      </c>
      <c r="AP235" s="1">
        <v>9.4526312116136241E-2</v>
      </c>
      <c r="AQ235" s="4">
        <f t="shared" si="54"/>
        <v>0.1734338428252373</v>
      </c>
      <c r="AR235" s="1">
        <v>0.41148063930764933</v>
      </c>
      <c r="AS235" s="1">
        <v>0.54076729480737018</v>
      </c>
      <c r="AT235" s="1">
        <v>4.7752065884980488E-2</v>
      </c>
      <c r="AU235" s="1">
        <f t="shared" si="55"/>
        <v>2.9883221663874929E-2</v>
      </c>
      <c r="AV235" s="1">
        <v>12</v>
      </c>
      <c r="AW235">
        <v>355</v>
      </c>
      <c r="AX235">
        <v>296</v>
      </c>
      <c r="AY235" s="6">
        <v>19</v>
      </c>
      <c r="AZ235" s="6">
        <v>4</v>
      </c>
      <c r="BA235" s="11">
        <f t="shared" si="56"/>
        <v>22.1875</v>
      </c>
      <c r="BB235">
        <f t="shared" si="57"/>
        <v>18.5</v>
      </c>
      <c r="BC235">
        <f t="shared" si="58"/>
        <v>59</v>
      </c>
      <c r="BD235">
        <f t="shared" si="59"/>
        <v>3.6875</v>
      </c>
      <c r="BE235" s="10">
        <v>9.7760527587290902</v>
      </c>
      <c r="BF235" s="6">
        <v>26.593219999999999</v>
      </c>
      <c r="BG235" s="6">
        <v>29.47241</v>
      </c>
      <c r="BH235" s="6">
        <v>0.61557700000000004</v>
      </c>
      <c r="BI235" s="6">
        <v>0.61016899999999996</v>
      </c>
      <c r="BJ235" s="6"/>
      <c r="BK235" s="6" t="s">
        <v>67</v>
      </c>
      <c r="BL235" s="6" t="s">
        <v>68</v>
      </c>
      <c r="BM235" s="6" t="s">
        <v>69</v>
      </c>
      <c r="BN235" s="6" t="s">
        <v>70</v>
      </c>
    </row>
    <row r="236" spans="1:80">
      <c r="A236" s="1" t="s">
        <v>346</v>
      </c>
      <c r="B236" s="1">
        <v>2015</v>
      </c>
      <c r="C236" s="1" t="s">
        <v>98</v>
      </c>
      <c r="D236" s="1">
        <v>18498450</v>
      </c>
      <c r="E236" s="1">
        <v>5554369</v>
      </c>
      <c r="F236" s="1">
        <v>25484600</v>
      </c>
      <c r="G236" s="1">
        <v>7702332</v>
      </c>
      <c r="H236" s="2">
        <f t="shared" si="45"/>
        <v>33186932</v>
      </c>
      <c r="I236" s="2">
        <f>H236+E236</f>
        <v>38741301</v>
      </c>
      <c r="J236" s="1">
        <v>10416454</v>
      </c>
      <c r="K236" s="2">
        <f t="shared" si="46"/>
        <v>57239751</v>
      </c>
      <c r="L236" s="1">
        <v>67656205</v>
      </c>
      <c r="M236" s="1">
        <v>12313980</v>
      </c>
      <c r="N236" s="1">
        <v>11899684</v>
      </c>
      <c r="O236" s="4">
        <f t="shared" si="47"/>
        <v>24213664</v>
      </c>
      <c r="P236" s="1">
        <v>13578562</v>
      </c>
      <c r="Q236" s="4">
        <f t="shared" si="48"/>
        <v>37792226</v>
      </c>
      <c r="R236" s="1">
        <v>8736044</v>
      </c>
      <c r="S236" s="1">
        <v>5062376</v>
      </c>
      <c r="T236" s="4">
        <f t="shared" si="49"/>
        <v>13798420</v>
      </c>
      <c r="U236" s="1">
        <v>51590646</v>
      </c>
      <c r="V236" s="1">
        <v>2015</v>
      </c>
      <c r="W236" s="8">
        <v>14916955</v>
      </c>
      <c r="X236" s="1">
        <v>0.438</v>
      </c>
      <c r="Y236" s="1">
        <v>0</v>
      </c>
      <c r="Z236" s="1">
        <v>0</v>
      </c>
      <c r="AA236" s="1">
        <v>143280000</v>
      </c>
      <c r="AB236" s="1">
        <v>0.1291069932998325</v>
      </c>
      <c r="AC236" s="1">
        <v>3.8765836125069793E-2</v>
      </c>
      <c r="AD236" s="1">
        <v>0.17786571747627025</v>
      </c>
      <c r="AE236" s="1">
        <v>5.3757202680067E-2</v>
      </c>
      <c r="AF236" s="2">
        <f t="shared" si="50"/>
        <v>0.23162292015633726</v>
      </c>
      <c r="AG236" s="2">
        <f>AF236+AC236</f>
        <v>0.27038875628140707</v>
      </c>
      <c r="AH236" s="1">
        <v>7.2699986041317693E-2</v>
      </c>
      <c r="AI236" s="2">
        <f t="shared" si="51"/>
        <v>0.39949574958123957</v>
      </c>
      <c r="AJ236" s="1">
        <v>8.5943467336683413E-2</v>
      </c>
      <c r="AK236" s="1">
        <v>8.3051954215522056E-2</v>
      </c>
      <c r="AL236" s="4">
        <f t="shared" si="52"/>
        <v>0.16899542155220548</v>
      </c>
      <c r="AM236" s="1">
        <v>9.4769416527079847E-2</v>
      </c>
      <c r="AN236" s="4">
        <f t="shared" si="53"/>
        <v>0.2637648380792853</v>
      </c>
      <c r="AO236" s="1">
        <v>6.0971831379117811E-2</v>
      </c>
      <c r="AP236" s="1">
        <v>3.5332049134561699E-2</v>
      </c>
      <c r="AQ236" s="4">
        <f t="shared" si="54"/>
        <v>9.630388051367951E-2</v>
      </c>
      <c r="AR236" s="1">
        <v>0.3600687185929648</v>
      </c>
      <c r="AS236" s="1">
        <v>0.47219573562255723</v>
      </c>
      <c r="AT236" s="1">
        <v>0.16773554578447802</v>
      </c>
      <c r="AU236" s="1">
        <f t="shared" si="55"/>
        <v>0.10411051786711334</v>
      </c>
      <c r="AV236" s="1">
        <v>7</v>
      </c>
      <c r="AW236">
        <v>358</v>
      </c>
      <c r="AX236">
        <v>400</v>
      </c>
      <c r="AY236" s="6">
        <v>18</v>
      </c>
      <c r="AZ236" s="6">
        <v>23</v>
      </c>
      <c r="BA236" s="11">
        <f t="shared" si="56"/>
        <v>22.375</v>
      </c>
      <c r="BB236">
        <f t="shared" si="57"/>
        <v>25</v>
      </c>
      <c r="BC236">
        <f t="shared" si="58"/>
        <v>-42</v>
      </c>
      <c r="BD236">
        <f t="shared" si="59"/>
        <v>-2.625</v>
      </c>
      <c r="BE236" s="10">
        <v>6.8426827819166904</v>
      </c>
      <c r="BF236" s="6">
        <v>26.59375</v>
      </c>
      <c r="BG236" s="6">
        <v>28.125679999999999</v>
      </c>
      <c r="BH236" s="6">
        <v>0.64004300000000003</v>
      </c>
      <c r="BI236" s="6">
        <v>0.546875</v>
      </c>
      <c r="BJ236" s="6"/>
      <c r="BK236" s="6" t="s">
        <v>80</v>
      </c>
      <c r="BL236" s="6" t="s">
        <v>96</v>
      </c>
      <c r="BM236" s="6" t="s">
        <v>164</v>
      </c>
      <c r="BN236" s="6" t="s">
        <v>70</v>
      </c>
    </row>
    <row r="237" spans="1:80">
      <c r="A237" s="1" t="s">
        <v>347</v>
      </c>
      <c r="B237" s="1">
        <v>2015</v>
      </c>
      <c r="C237" s="1" t="s">
        <v>101</v>
      </c>
      <c r="D237" s="1">
        <v>20090908</v>
      </c>
      <c r="E237" s="1">
        <v>2917044</v>
      </c>
      <c r="F237" s="1">
        <v>13021509</v>
      </c>
      <c r="G237" s="1">
        <v>3295825</v>
      </c>
      <c r="H237" s="2">
        <f>SUM(F237:G237)</f>
        <v>16317334</v>
      </c>
      <c r="I237" s="2">
        <f>H237+E237</f>
        <v>19234378</v>
      </c>
      <c r="J237" s="1">
        <v>21065314</v>
      </c>
      <c r="K237" s="2">
        <f>SUM(D237:G237)</f>
        <v>39325286</v>
      </c>
      <c r="L237" s="1">
        <v>60390600</v>
      </c>
      <c r="M237" s="1">
        <v>10632552</v>
      </c>
      <c r="N237" s="1">
        <v>35680871</v>
      </c>
      <c r="O237" s="4">
        <f>SUM(M237:N237)</f>
        <v>46313423</v>
      </c>
      <c r="P237" s="1">
        <v>1045193</v>
      </c>
      <c r="Q237" s="4">
        <f>SUM(O237:P237)</f>
        <v>47358616</v>
      </c>
      <c r="R237" s="1">
        <v>10790891</v>
      </c>
      <c r="S237" s="1">
        <v>13207797</v>
      </c>
      <c r="T237" s="4">
        <f>SUM(R237:S237)</f>
        <v>23998688</v>
      </c>
      <c r="U237" s="1">
        <v>71357304</v>
      </c>
      <c r="V237" s="1">
        <v>2015</v>
      </c>
      <c r="W237" s="8">
        <v>11235334</v>
      </c>
      <c r="X237" s="1">
        <v>0.625</v>
      </c>
      <c r="Y237" s="1">
        <v>1</v>
      </c>
      <c r="Z237" s="1">
        <v>0</v>
      </c>
      <c r="AA237" s="1">
        <v>143280000</v>
      </c>
      <c r="AB237" s="1">
        <v>0.14022130094919039</v>
      </c>
      <c r="AC237" s="1">
        <v>2.0359045226130652E-2</v>
      </c>
      <c r="AD237" s="1">
        <v>9.0881553601340037E-2</v>
      </c>
      <c r="AE237" s="1">
        <v>2.3002687046342826E-2</v>
      </c>
      <c r="AF237" s="2">
        <f>SUM(AD237:AE237)</f>
        <v>0.11388424064768286</v>
      </c>
      <c r="AG237" s="2">
        <f>AF237+AC237</f>
        <v>0.13424328587381351</v>
      </c>
      <c r="AH237" s="1">
        <v>0.14702201284198771</v>
      </c>
      <c r="AI237" s="2">
        <f>SUM(AB237:AE237)</f>
        <v>0.27446458682300395</v>
      </c>
      <c r="AJ237" s="1">
        <v>7.4208207705192625E-2</v>
      </c>
      <c r="AK237" s="1">
        <v>0.24902897124511447</v>
      </c>
      <c r="AL237" s="4">
        <f>SUM(AJ237:AK237)</f>
        <v>0.32323717895030712</v>
      </c>
      <c r="AM237" s="1">
        <v>7.2947585147962032E-3</v>
      </c>
      <c r="AN237" s="4">
        <f>SUM(AL237:AM237)</f>
        <v>0.33053193746510334</v>
      </c>
      <c r="AO237" s="1">
        <v>7.5313309603573422E-2</v>
      </c>
      <c r="AP237" s="1">
        <v>9.2181721105527636E-2</v>
      </c>
      <c r="AQ237" s="4">
        <f>SUM(AO237:AP237)</f>
        <v>0.16749503070910104</v>
      </c>
      <c r="AR237" s="1">
        <v>0.49802696817420433</v>
      </c>
      <c r="AS237" s="1">
        <v>0.42148659966499163</v>
      </c>
      <c r="AT237" s="1">
        <v>8.0486432160804089E-2</v>
      </c>
      <c r="AU237" s="1">
        <f t="shared" si="55"/>
        <v>7.8415228922389724E-2</v>
      </c>
      <c r="AV237" s="1">
        <v>10</v>
      </c>
      <c r="AW237">
        <v>368</v>
      </c>
      <c r="AX237">
        <v>323</v>
      </c>
      <c r="AY237" s="6">
        <v>15</v>
      </c>
      <c r="AZ237" s="6">
        <v>12</v>
      </c>
      <c r="BA237" s="11">
        <f t="shared" si="56"/>
        <v>23</v>
      </c>
      <c r="BB237">
        <f t="shared" si="57"/>
        <v>20.1875</v>
      </c>
      <c r="BC237">
        <f t="shared" si="58"/>
        <v>45</v>
      </c>
      <c r="BD237">
        <f t="shared" si="59"/>
        <v>2.8125</v>
      </c>
      <c r="BE237" s="10">
        <v>9.3694470193689607</v>
      </c>
      <c r="BF237" s="6">
        <v>25.847460000000002</v>
      </c>
      <c r="BG237" s="6">
        <v>28.42747</v>
      </c>
      <c r="BH237" s="6">
        <v>0.61003499999999999</v>
      </c>
      <c r="BI237" s="6">
        <v>0.77966100000000005</v>
      </c>
      <c r="BJ237" s="6"/>
      <c r="BK237" s="6" t="s">
        <v>67</v>
      </c>
      <c r="BL237" s="6" t="s">
        <v>68</v>
      </c>
      <c r="BM237" s="6" t="s">
        <v>69</v>
      </c>
      <c r="BN237" s="6" t="s">
        <v>70</v>
      </c>
    </row>
    <row r="238" spans="1:80">
      <c r="A238" s="1" t="s">
        <v>348</v>
      </c>
      <c r="B238" s="1">
        <v>2015</v>
      </c>
      <c r="C238" s="1" t="s">
        <v>104</v>
      </c>
      <c r="D238" s="1">
        <v>6357837</v>
      </c>
      <c r="E238" s="1">
        <v>10875801</v>
      </c>
      <c r="F238" s="1">
        <v>6411093</v>
      </c>
      <c r="G238" s="1">
        <v>5702571</v>
      </c>
      <c r="H238" s="2">
        <f t="shared" si="45"/>
        <v>12113664</v>
      </c>
      <c r="I238" s="2">
        <f>H238+E238</f>
        <v>22989465</v>
      </c>
      <c r="J238" s="1">
        <v>22553824</v>
      </c>
      <c r="K238" s="2">
        <f t="shared" si="46"/>
        <v>29347302</v>
      </c>
      <c r="L238" s="1">
        <v>51901126</v>
      </c>
      <c r="M238" s="1">
        <v>20580901</v>
      </c>
      <c r="N238" s="1">
        <v>9018355</v>
      </c>
      <c r="O238" s="4">
        <f t="shared" si="47"/>
        <v>29599256</v>
      </c>
      <c r="P238" s="1">
        <v>12609806</v>
      </c>
      <c r="Q238" s="4">
        <f t="shared" si="48"/>
        <v>42209062</v>
      </c>
      <c r="R238" s="1">
        <v>4828838</v>
      </c>
      <c r="S238" s="1">
        <v>23059240</v>
      </c>
      <c r="T238" s="4">
        <f t="shared" si="49"/>
        <v>27888078</v>
      </c>
      <c r="U238" s="1">
        <v>70097140</v>
      </c>
      <c r="V238" s="1">
        <v>2015</v>
      </c>
      <c r="W238" s="8">
        <v>22336746</v>
      </c>
      <c r="X238" s="1">
        <v>0.56299999999999994</v>
      </c>
      <c r="Y238" s="1">
        <v>1</v>
      </c>
      <c r="Z238" s="1">
        <v>0</v>
      </c>
      <c r="AA238" s="1">
        <v>143280000</v>
      </c>
      <c r="AB238" s="1">
        <v>4.4373513400335012E-2</v>
      </c>
      <c r="AC238" s="1">
        <v>7.5905925460636514E-2</v>
      </c>
      <c r="AD238" s="1">
        <v>4.4745205192629818E-2</v>
      </c>
      <c r="AE238" s="1">
        <v>3.9800188442211053E-2</v>
      </c>
      <c r="AF238" s="2">
        <f t="shared" si="50"/>
        <v>8.4545393634840871E-2</v>
      </c>
      <c r="AG238" s="2">
        <f>AF238+AC238</f>
        <v>0.16045131909547738</v>
      </c>
      <c r="AH238" s="1">
        <v>0.15741083193746511</v>
      </c>
      <c r="AI238" s="2">
        <f t="shared" si="51"/>
        <v>0.2048248324958124</v>
      </c>
      <c r="AJ238" s="1">
        <v>0.14364112925739811</v>
      </c>
      <c r="AK238" s="1">
        <v>6.2942176158570631E-2</v>
      </c>
      <c r="AL238" s="4">
        <f t="shared" si="52"/>
        <v>0.20658330541596875</v>
      </c>
      <c r="AM238" s="1">
        <v>8.8008137911781123E-2</v>
      </c>
      <c r="AN238" s="4">
        <f t="shared" si="53"/>
        <v>0.29459144332774989</v>
      </c>
      <c r="AO238" s="1">
        <v>3.3702107761027361E-2</v>
      </c>
      <c r="AP238" s="1">
        <v>0.16093830262423228</v>
      </c>
      <c r="AQ238" s="4">
        <f t="shared" si="54"/>
        <v>0.19464041038525964</v>
      </c>
      <c r="AR238" s="1">
        <v>0.48923185371300948</v>
      </c>
      <c r="AS238" s="1">
        <v>0.36223566443327748</v>
      </c>
      <c r="AT238" s="1">
        <v>0.14853248185371304</v>
      </c>
      <c r="AU238" s="1">
        <f t="shared" si="55"/>
        <v>0.15589577051926298</v>
      </c>
      <c r="AV238" s="1">
        <v>9</v>
      </c>
      <c r="AW238">
        <v>339</v>
      </c>
      <c r="AX238">
        <v>313</v>
      </c>
      <c r="AY238" s="6">
        <v>21</v>
      </c>
      <c r="AZ238" s="6">
        <v>7</v>
      </c>
      <c r="BA238" s="11">
        <f t="shared" si="56"/>
        <v>21.1875</v>
      </c>
      <c r="BB238">
        <f t="shared" si="57"/>
        <v>19.5625</v>
      </c>
      <c r="BC238">
        <f t="shared" si="58"/>
        <v>26</v>
      </c>
      <c r="BD238">
        <f t="shared" si="59"/>
        <v>1.625</v>
      </c>
      <c r="BE238" s="10">
        <v>8.8176249445230592</v>
      </c>
      <c r="BF238" s="6">
        <v>25.90625</v>
      </c>
      <c r="BG238" s="6">
        <v>27.619240000000001</v>
      </c>
      <c r="BH238" s="6">
        <v>0.63149599999999995</v>
      </c>
      <c r="BI238" s="6">
        <v>0.546875</v>
      </c>
      <c r="BJ238" s="6"/>
      <c r="BK238" s="6" t="s">
        <v>73</v>
      </c>
      <c r="BL238" s="6" t="s">
        <v>96</v>
      </c>
      <c r="BM238" s="6" t="s">
        <v>93</v>
      </c>
      <c r="BN238" s="6" t="s">
        <v>93</v>
      </c>
    </row>
    <row r="239" spans="1:80">
      <c r="A239" s="1" t="s">
        <v>349</v>
      </c>
      <c r="B239" s="1">
        <v>2015</v>
      </c>
      <c r="C239" s="1" t="s">
        <v>106</v>
      </c>
      <c r="D239" s="1">
        <v>10966900</v>
      </c>
      <c r="E239" s="1">
        <v>5547765</v>
      </c>
      <c r="F239" s="1">
        <v>13153178</v>
      </c>
      <c r="G239" s="1">
        <v>4034629</v>
      </c>
      <c r="H239" s="2">
        <f t="shared" si="45"/>
        <v>17187807</v>
      </c>
      <c r="I239" s="2">
        <f>H239+E239</f>
        <v>22735572</v>
      </c>
      <c r="J239" s="1">
        <v>14365795</v>
      </c>
      <c r="K239" s="2">
        <f t="shared" si="46"/>
        <v>33702472</v>
      </c>
      <c r="L239" s="1">
        <v>48068267</v>
      </c>
      <c r="M239" s="1">
        <v>14935562</v>
      </c>
      <c r="N239" s="1">
        <v>24983566</v>
      </c>
      <c r="O239" s="4">
        <f t="shared" si="47"/>
        <v>39919128</v>
      </c>
      <c r="P239" s="1">
        <v>10511983</v>
      </c>
      <c r="Q239" s="4">
        <f t="shared" si="48"/>
        <v>50431111</v>
      </c>
      <c r="R239" s="1">
        <v>5801282</v>
      </c>
      <c r="S239" s="1">
        <v>21055447</v>
      </c>
      <c r="T239" s="4">
        <f t="shared" si="49"/>
        <v>26856729</v>
      </c>
      <c r="U239" s="1">
        <v>77287840</v>
      </c>
      <c r="V239" s="1">
        <v>2015</v>
      </c>
      <c r="W239" s="8">
        <v>20924189</v>
      </c>
      <c r="X239" s="1">
        <v>0.5</v>
      </c>
      <c r="Y239" s="1">
        <v>0</v>
      </c>
      <c r="Z239" s="1">
        <v>0</v>
      </c>
      <c r="AA239" s="1">
        <v>143280000</v>
      </c>
      <c r="AB239" s="1">
        <v>7.6541736460078169E-2</v>
      </c>
      <c r="AC239" s="1">
        <v>3.8719744556113905E-2</v>
      </c>
      <c r="AD239" s="1">
        <v>9.1800516471245111E-2</v>
      </c>
      <c r="AE239" s="1">
        <v>2.8159052205471803E-2</v>
      </c>
      <c r="AF239" s="2">
        <f t="shared" si="50"/>
        <v>0.11995956867671692</v>
      </c>
      <c r="AG239" s="2">
        <f>AF239+AC239</f>
        <v>0.15867931323283083</v>
      </c>
      <c r="AH239" s="1">
        <v>0.10026378419877163</v>
      </c>
      <c r="AI239" s="2">
        <f t="shared" si="51"/>
        <v>0.235221049692909</v>
      </c>
      <c r="AJ239" s="1">
        <v>0.10424038246789503</v>
      </c>
      <c r="AK239" s="1">
        <v>0.17436883026242322</v>
      </c>
      <c r="AL239" s="4">
        <f t="shared" si="52"/>
        <v>0.27860921273031825</v>
      </c>
      <c r="AM239" s="1">
        <v>7.3366715522054718E-2</v>
      </c>
      <c r="AN239" s="4">
        <f t="shared" si="53"/>
        <v>0.35197592825237295</v>
      </c>
      <c r="AO239" s="1">
        <v>4.0489126186487999E-2</v>
      </c>
      <c r="AP239" s="1">
        <v>0.14695314768285875</v>
      </c>
      <c r="AQ239" s="4">
        <f t="shared" si="54"/>
        <v>0.18744227386934675</v>
      </c>
      <c r="AR239" s="1">
        <v>0.53941820212171976</v>
      </c>
      <c r="AS239" s="1">
        <v>0.3354848338916806</v>
      </c>
      <c r="AT239" s="1">
        <v>0.12509696398659964</v>
      </c>
      <c r="AU239" s="1">
        <f t="shared" si="55"/>
        <v>0.14603705332216638</v>
      </c>
      <c r="AV239" s="1">
        <v>8</v>
      </c>
      <c r="AW239">
        <v>333</v>
      </c>
      <c r="AX239">
        <v>408</v>
      </c>
      <c r="AY239" s="6">
        <v>24</v>
      </c>
      <c r="AZ239" s="6">
        <v>25</v>
      </c>
      <c r="BA239" s="11">
        <f t="shared" si="56"/>
        <v>20.8125</v>
      </c>
      <c r="BB239">
        <f t="shared" si="57"/>
        <v>25.5</v>
      </c>
      <c r="BC239">
        <f t="shared" si="58"/>
        <v>-75</v>
      </c>
      <c r="BD239">
        <f t="shared" si="59"/>
        <v>-4.6875</v>
      </c>
      <c r="BE239" s="10">
        <v>5.8842549677106604</v>
      </c>
      <c r="BF239" s="6">
        <v>26.895520000000001</v>
      </c>
      <c r="BG239" s="6">
        <v>29.509830000000001</v>
      </c>
      <c r="BH239" s="6">
        <v>0.61532500000000001</v>
      </c>
      <c r="BI239" s="6">
        <v>0.492537</v>
      </c>
      <c r="BJ239" s="6"/>
      <c r="BK239" s="6" t="s">
        <v>67</v>
      </c>
      <c r="BL239" s="6" t="s">
        <v>68</v>
      </c>
      <c r="BM239" s="6" t="s">
        <v>69</v>
      </c>
      <c r="BN239" s="6" t="s">
        <v>70</v>
      </c>
    </row>
    <row r="240" spans="1:80">
      <c r="A240" s="1" t="s">
        <v>350</v>
      </c>
      <c r="B240" s="1">
        <v>2015</v>
      </c>
      <c r="C240" s="1" t="s">
        <v>108</v>
      </c>
      <c r="D240" s="1">
        <v>8194273</v>
      </c>
      <c r="E240" s="1">
        <v>5564721</v>
      </c>
      <c r="F240" s="1">
        <v>7847093</v>
      </c>
      <c r="G240" s="1">
        <v>16447200</v>
      </c>
      <c r="H240" s="2">
        <f t="shared" si="45"/>
        <v>24294293</v>
      </c>
      <c r="I240" s="2">
        <f>H240+E240</f>
        <v>29859014</v>
      </c>
      <c r="J240" s="1">
        <v>24810232</v>
      </c>
      <c r="K240" s="2">
        <f t="shared" si="46"/>
        <v>38053287</v>
      </c>
      <c r="L240" s="1">
        <v>62863519</v>
      </c>
      <c r="M240" s="1">
        <v>22356097</v>
      </c>
      <c r="N240" s="1">
        <v>12025078</v>
      </c>
      <c r="O240" s="4">
        <f t="shared" si="47"/>
        <v>34381175</v>
      </c>
      <c r="P240" s="1">
        <v>13628224</v>
      </c>
      <c r="Q240" s="4">
        <f t="shared" si="48"/>
        <v>48009399</v>
      </c>
      <c r="R240" s="1">
        <v>5375948</v>
      </c>
      <c r="S240" s="1">
        <v>9416089</v>
      </c>
      <c r="T240" s="4">
        <f t="shared" si="49"/>
        <v>14792037</v>
      </c>
      <c r="U240" s="1">
        <v>62801436</v>
      </c>
      <c r="V240" s="1">
        <v>2015</v>
      </c>
      <c r="W240" s="8">
        <v>19001605</v>
      </c>
      <c r="X240" s="1">
        <v>0.313</v>
      </c>
      <c r="Y240" s="1">
        <v>0</v>
      </c>
      <c r="Z240" s="1">
        <v>0</v>
      </c>
      <c r="AA240" s="1">
        <v>143280000</v>
      </c>
      <c r="AB240" s="1">
        <v>5.7190626744835285E-2</v>
      </c>
      <c r="AC240" s="1">
        <v>3.8838086264656617E-2</v>
      </c>
      <c r="AD240" s="1">
        <v>5.4767539084310445E-2</v>
      </c>
      <c r="AE240" s="1">
        <v>0.11479061976549414</v>
      </c>
      <c r="AF240" s="2">
        <f t="shared" si="50"/>
        <v>0.16955815884980457</v>
      </c>
      <c r="AG240" s="2">
        <f>AF240+AC240</f>
        <v>0.2083962451144612</v>
      </c>
      <c r="AH240" s="1">
        <v>0.17315907314349527</v>
      </c>
      <c r="AI240" s="2">
        <f t="shared" si="51"/>
        <v>0.26558687185929647</v>
      </c>
      <c r="AJ240" s="1">
        <v>0.15603082774986041</v>
      </c>
      <c r="AK240" s="1">
        <v>8.392712171970966E-2</v>
      </c>
      <c r="AL240" s="4">
        <f t="shared" si="52"/>
        <v>0.23995794946957005</v>
      </c>
      <c r="AM240" s="1">
        <v>9.5116024567280855E-2</v>
      </c>
      <c r="AN240" s="4">
        <f t="shared" si="53"/>
        <v>0.33507397403685091</v>
      </c>
      <c r="AO240" s="1">
        <v>3.7520575097710777E-2</v>
      </c>
      <c r="AP240" s="1">
        <v>6.5718097431602451E-2</v>
      </c>
      <c r="AQ240" s="4">
        <f t="shared" si="54"/>
        <v>0.10323867252931324</v>
      </c>
      <c r="AR240" s="1">
        <v>0.43831264656616414</v>
      </c>
      <c r="AS240" s="1">
        <v>0.43874594500279174</v>
      </c>
      <c r="AT240" s="1">
        <v>0.12294140843104406</v>
      </c>
      <c r="AU240" s="1">
        <f t="shared" si="55"/>
        <v>0.13261868369625907</v>
      </c>
      <c r="AV240" s="1">
        <v>5</v>
      </c>
      <c r="AW240">
        <v>376</v>
      </c>
      <c r="AX240">
        <v>448</v>
      </c>
      <c r="AY240" s="6">
        <v>14</v>
      </c>
      <c r="AZ240" s="6">
        <v>31</v>
      </c>
      <c r="BA240" s="11">
        <f t="shared" si="56"/>
        <v>23.5</v>
      </c>
      <c r="BB240">
        <f t="shared" si="57"/>
        <v>28</v>
      </c>
      <c r="BC240">
        <f t="shared" si="58"/>
        <v>-72</v>
      </c>
      <c r="BD240">
        <f t="shared" si="59"/>
        <v>-4.5</v>
      </c>
      <c r="BE240" s="10">
        <v>5.9713847690021202</v>
      </c>
      <c r="BF240" s="6">
        <v>25.43939</v>
      </c>
      <c r="BG240" s="6">
        <v>27.09712</v>
      </c>
      <c r="BH240" s="6">
        <v>0.585225</v>
      </c>
      <c r="BI240" s="6">
        <v>0.56060600000000005</v>
      </c>
      <c r="BJ240" s="6"/>
      <c r="BK240" s="6" t="s">
        <v>73</v>
      </c>
      <c r="BL240" s="6" t="s">
        <v>74</v>
      </c>
      <c r="BM240" s="6" t="s">
        <v>75</v>
      </c>
      <c r="BN240" s="6" t="s">
        <v>93</v>
      </c>
    </row>
    <row r="241" spans="1:66">
      <c r="A241" s="1" t="s">
        <v>351</v>
      </c>
      <c r="B241" s="1">
        <v>2015</v>
      </c>
      <c r="C241" s="1" t="s">
        <v>110</v>
      </c>
      <c r="D241" s="1">
        <v>21476940</v>
      </c>
      <c r="E241" s="1">
        <v>9656539</v>
      </c>
      <c r="F241" s="1">
        <v>6172669</v>
      </c>
      <c r="G241" s="1">
        <v>2273413</v>
      </c>
      <c r="H241" s="2">
        <f t="shared" si="45"/>
        <v>8446082</v>
      </c>
      <c r="I241" s="2">
        <f>H241+E241</f>
        <v>18102621</v>
      </c>
      <c r="J241" s="1">
        <v>16685651</v>
      </c>
      <c r="K241" s="2">
        <f t="shared" si="46"/>
        <v>39579561</v>
      </c>
      <c r="L241" s="1">
        <v>56265212</v>
      </c>
      <c r="M241" s="1">
        <v>11816841</v>
      </c>
      <c r="N241" s="1">
        <v>13645289</v>
      </c>
      <c r="O241" s="4">
        <f t="shared" si="47"/>
        <v>25462130</v>
      </c>
      <c r="P241" s="1">
        <v>8095994</v>
      </c>
      <c r="Q241" s="4">
        <f t="shared" si="48"/>
        <v>33558124</v>
      </c>
      <c r="R241" s="1">
        <v>14112700</v>
      </c>
      <c r="S241" s="1">
        <v>11077574</v>
      </c>
      <c r="T241" s="4">
        <f t="shared" si="49"/>
        <v>25190274</v>
      </c>
      <c r="U241" s="1">
        <v>58748398</v>
      </c>
      <c r="V241" s="1">
        <v>2015</v>
      </c>
      <c r="W241" s="8">
        <v>14902761</v>
      </c>
      <c r="X241" s="1">
        <v>0.68799999999999994</v>
      </c>
      <c r="Y241" s="1">
        <v>1</v>
      </c>
      <c r="Z241" s="1">
        <v>0</v>
      </c>
      <c r="AA241" s="1">
        <v>143280000</v>
      </c>
      <c r="AB241" s="1">
        <v>0.14989489112227805</v>
      </c>
      <c r="AC241" s="1">
        <v>6.7396280011166945E-2</v>
      </c>
      <c r="AD241" s="1">
        <v>4.3081162758235619E-2</v>
      </c>
      <c r="AE241" s="1">
        <v>1.5866924902289224E-2</v>
      </c>
      <c r="AF241" s="2">
        <f t="shared" si="50"/>
        <v>5.8948087660524839E-2</v>
      </c>
      <c r="AG241" s="2">
        <f>AF241+AC241</f>
        <v>0.12634436767169177</v>
      </c>
      <c r="AH241" s="1">
        <v>0.11645485064209939</v>
      </c>
      <c r="AI241" s="2">
        <f t="shared" si="51"/>
        <v>0.27623925879396982</v>
      </c>
      <c r="AJ241" s="1">
        <v>8.2473764656616419E-2</v>
      </c>
      <c r="AK241" s="1">
        <v>9.5235127024008936E-2</v>
      </c>
      <c r="AL241" s="4">
        <f t="shared" si="52"/>
        <v>0.17770889168062537</v>
      </c>
      <c r="AM241" s="1">
        <v>5.6504704075935233E-2</v>
      </c>
      <c r="AN241" s="4">
        <f t="shared" si="53"/>
        <v>0.23421359575656059</v>
      </c>
      <c r="AO241" s="1">
        <v>9.8497347850362932E-2</v>
      </c>
      <c r="AP241" s="1">
        <v>7.7314168062534896E-2</v>
      </c>
      <c r="AQ241" s="4">
        <f t="shared" si="54"/>
        <v>0.17581151591289784</v>
      </c>
      <c r="AR241" s="1">
        <v>0.41002511166945843</v>
      </c>
      <c r="AS241" s="1">
        <v>0.39269410943606925</v>
      </c>
      <c r="AT241" s="1">
        <v>0.19728077889447238</v>
      </c>
      <c r="AU241" s="1">
        <f t="shared" si="55"/>
        <v>0.10401145309882746</v>
      </c>
      <c r="AV241" s="1">
        <v>11</v>
      </c>
      <c r="AW241">
        <v>405</v>
      </c>
      <c r="AX241">
        <v>287</v>
      </c>
      <c r="AY241" s="6">
        <v>9</v>
      </c>
      <c r="AZ241" s="6">
        <v>3</v>
      </c>
      <c r="BA241" s="11">
        <f t="shared" si="56"/>
        <v>25.3125</v>
      </c>
      <c r="BB241">
        <f t="shared" si="57"/>
        <v>17.9375</v>
      </c>
      <c r="BC241">
        <f t="shared" si="58"/>
        <v>118</v>
      </c>
      <c r="BD241">
        <f t="shared" si="59"/>
        <v>7.375</v>
      </c>
      <c r="BE241" s="10">
        <v>11.489605517461101</v>
      </c>
      <c r="BF241" s="6">
        <v>26.12069</v>
      </c>
      <c r="BG241" s="6">
        <v>28.002559999999999</v>
      </c>
      <c r="BH241" s="6">
        <v>0.57670399999999999</v>
      </c>
      <c r="BI241" s="6">
        <v>0.65517199999999998</v>
      </c>
      <c r="BJ241" s="6"/>
      <c r="BK241" s="6" t="s">
        <v>80</v>
      </c>
      <c r="BL241" s="6" t="s">
        <v>74</v>
      </c>
      <c r="BM241" s="6" t="s">
        <v>81</v>
      </c>
      <c r="BN241" s="6" t="s">
        <v>75</v>
      </c>
    </row>
    <row r="242" spans="1:66">
      <c r="A242" s="1" t="s">
        <v>352</v>
      </c>
      <c r="B242" s="1">
        <v>2015</v>
      </c>
      <c r="C242" s="1" t="s">
        <v>118</v>
      </c>
      <c r="D242" s="1">
        <v>7625864</v>
      </c>
      <c r="E242" s="1">
        <v>2623010</v>
      </c>
      <c r="F242" s="1">
        <v>7039908</v>
      </c>
      <c r="G242" s="1">
        <v>6819535</v>
      </c>
      <c r="H242" s="2">
        <f t="shared" si="45"/>
        <v>13859443</v>
      </c>
      <c r="I242" s="2">
        <f>H242+E242</f>
        <v>16482453</v>
      </c>
      <c r="J242" s="1">
        <v>23159445</v>
      </c>
      <c r="K242" s="2">
        <f t="shared" si="46"/>
        <v>24108317</v>
      </c>
      <c r="L242" s="1">
        <v>47267762</v>
      </c>
      <c r="M242" s="1">
        <v>11620268</v>
      </c>
      <c r="N242" s="1">
        <v>18738508</v>
      </c>
      <c r="O242" s="4">
        <f t="shared" si="47"/>
        <v>30358776</v>
      </c>
      <c r="P242" s="1">
        <v>9272473</v>
      </c>
      <c r="Q242" s="4">
        <f t="shared" si="48"/>
        <v>39631249</v>
      </c>
      <c r="R242" s="1">
        <v>10861046</v>
      </c>
      <c r="S242" s="1">
        <v>14670090</v>
      </c>
      <c r="T242" s="4">
        <f t="shared" si="49"/>
        <v>25531136</v>
      </c>
      <c r="U242" s="1">
        <v>65162385</v>
      </c>
      <c r="V242" s="1">
        <v>2015</v>
      </c>
      <c r="W242" s="8">
        <v>23752877</v>
      </c>
      <c r="X242" s="1">
        <v>0.375</v>
      </c>
      <c r="Y242" s="1">
        <v>0</v>
      </c>
      <c r="Z242" s="1">
        <v>0</v>
      </c>
      <c r="AA242" s="1">
        <v>143280000</v>
      </c>
      <c r="AB242" s="1">
        <v>5.3223506420993862E-2</v>
      </c>
      <c r="AC242" s="1">
        <v>1.8306881630374094E-2</v>
      </c>
      <c r="AD242" s="1">
        <v>4.9133919597989947E-2</v>
      </c>
      <c r="AE242" s="1">
        <v>4.7595861250697931E-2</v>
      </c>
      <c r="AF242" s="2">
        <f t="shared" si="50"/>
        <v>9.6729780848687885E-2</v>
      </c>
      <c r="AG242" s="2">
        <f>AF242+AC242</f>
        <v>0.11503666247906198</v>
      </c>
      <c r="AH242" s="1">
        <v>0.16163766750418759</v>
      </c>
      <c r="AI242" s="2">
        <f t="shared" si="51"/>
        <v>0.16826016890005582</v>
      </c>
      <c r="AJ242" s="1">
        <v>8.1101814628699045E-2</v>
      </c>
      <c r="AK242" s="1">
        <v>0.13078243997766612</v>
      </c>
      <c r="AL242" s="4">
        <f t="shared" si="52"/>
        <v>0.21188425460636517</v>
      </c>
      <c r="AM242" s="1">
        <v>6.4715752372975985E-2</v>
      </c>
      <c r="AN242" s="4">
        <f t="shared" si="53"/>
        <v>0.27660000697934117</v>
      </c>
      <c r="AO242" s="1">
        <v>7.5802945281965378E-2</v>
      </c>
      <c r="AP242" s="1">
        <v>0.10238756281407035</v>
      </c>
      <c r="AQ242" s="4">
        <f t="shared" si="54"/>
        <v>0.17819050809603573</v>
      </c>
      <c r="AR242" s="1">
        <v>0.45479051507537688</v>
      </c>
      <c r="AS242" s="1">
        <v>0.32989783640424342</v>
      </c>
      <c r="AT242" s="1">
        <v>0.21531164852037965</v>
      </c>
      <c r="AU242" s="1">
        <f t="shared" si="55"/>
        <v>0.16577943188163038</v>
      </c>
      <c r="AV242" s="1">
        <v>6</v>
      </c>
      <c r="AW242">
        <v>310</v>
      </c>
      <c r="AX242">
        <v>389</v>
      </c>
      <c r="AY242" s="6">
        <v>27</v>
      </c>
      <c r="AZ242" s="6">
        <v>19</v>
      </c>
      <c r="BA242" s="11">
        <f t="shared" si="56"/>
        <v>19.375</v>
      </c>
      <c r="BB242">
        <f t="shared" si="57"/>
        <v>24.3125</v>
      </c>
      <c r="BC242">
        <f t="shared" si="58"/>
        <v>-79</v>
      </c>
      <c r="BD242">
        <f t="shared" si="59"/>
        <v>-4.9375</v>
      </c>
      <c r="BE242" s="10">
        <v>5.7680818993220502</v>
      </c>
      <c r="BF242" s="6">
        <v>25.627120000000001</v>
      </c>
      <c r="BG242" s="6">
        <v>28.017009999999999</v>
      </c>
      <c r="BH242" s="6">
        <v>0.62532500000000002</v>
      </c>
      <c r="BI242" s="6">
        <v>0.54237299999999999</v>
      </c>
      <c r="BJ242" s="6"/>
      <c r="BK242" s="6" t="s">
        <v>80</v>
      </c>
      <c r="BL242" s="6" t="s">
        <v>68</v>
      </c>
      <c r="BM242" s="6" t="s">
        <v>92</v>
      </c>
      <c r="BN242" s="6" t="s">
        <v>93</v>
      </c>
    </row>
    <row r="243" spans="1:66">
      <c r="A243" s="1" t="s">
        <v>353</v>
      </c>
      <c r="B243" s="1">
        <v>2015</v>
      </c>
      <c r="C243" s="1" t="s">
        <v>120</v>
      </c>
      <c r="D243" s="1">
        <v>5245038</v>
      </c>
      <c r="E243" s="1">
        <v>16960950</v>
      </c>
      <c r="F243" s="1">
        <v>15700531</v>
      </c>
      <c r="G243" s="1">
        <v>8705993</v>
      </c>
      <c r="H243" s="2">
        <f t="shared" si="45"/>
        <v>24406524</v>
      </c>
      <c r="I243" s="2">
        <f>H243+E243</f>
        <v>41367474</v>
      </c>
      <c r="J243" s="1">
        <v>29660487</v>
      </c>
      <c r="K243" s="2">
        <f t="shared" si="46"/>
        <v>46612512</v>
      </c>
      <c r="L243" s="1">
        <v>76272999</v>
      </c>
      <c r="M243" s="1">
        <v>10108617</v>
      </c>
      <c r="N243" s="1">
        <v>15465984</v>
      </c>
      <c r="O243" s="4">
        <f t="shared" si="47"/>
        <v>25574601</v>
      </c>
      <c r="P243" s="1">
        <v>11870684</v>
      </c>
      <c r="Q243" s="4">
        <f t="shared" si="48"/>
        <v>37445285</v>
      </c>
      <c r="R243" s="1">
        <v>5565439</v>
      </c>
      <c r="S243" s="1">
        <v>14643487</v>
      </c>
      <c r="T243" s="4">
        <f t="shared" si="49"/>
        <v>20208926</v>
      </c>
      <c r="U243" s="1">
        <v>57654211</v>
      </c>
      <c r="V243" s="1">
        <v>2015</v>
      </c>
      <c r="W243" s="8">
        <v>19711497</v>
      </c>
      <c r="X243" s="1">
        <v>0.68799999999999994</v>
      </c>
      <c r="Y243" s="1">
        <v>1</v>
      </c>
      <c r="Z243" s="1">
        <v>0</v>
      </c>
      <c r="AA243" s="1">
        <v>143280000</v>
      </c>
      <c r="AB243" s="1">
        <v>3.6606909547738695E-2</v>
      </c>
      <c r="AC243" s="1">
        <v>0.11837625628140704</v>
      </c>
      <c r="AD243" s="1">
        <v>0.10957936208821888</v>
      </c>
      <c r="AE243" s="1">
        <v>6.0762095198213288E-2</v>
      </c>
      <c r="AF243" s="2">
        <f t="shared" si="50"/>
        <v>0.17034145728643216</v>
      </c>
      <c r="AG243" s="2">
        <f>AF243+AC243</f>
        <v>0.28871771356783921</v>
      </c>
      <c r="AH243" s="1">
        <v>0.20701065745393635</v>
      </c>
      <c r="AI243" s="2">
        <f t="shared" si="51"/>
        <v>0.32532462311557792</v>
      </c>
      <c r="AJ243" s="1">
        <v>7.0551486599664995E-2</v>
      </c>
      <c r="AK243" s="1">
        <v>0.10794237855946398</v>
      </c>
      <c r="AL243" s="4">
        <f t="shared" si="52"/>
        <v>0.17849386515912896</v>
      </c>
      <c r="AM243" s="1">
        <v>8.2849553322166383E-2</v>
      </c>
      <c r="AN243" s="4">
        <f t="shared" si="53"/>
        <v>0.26134341848129533</v>
      </c>
      <c r="AO243" s="1">
        <v>3.8843097431602455E-2</v>
      </c>
      <c r="AP243" s="1">
        <v>0.10220189140145171</v>
      </c>
      <c r="AQ243" s="4">
        <f t="shared" si="54"/>
        <v>0.14104498883305416</v>
      </c>
      <c r="AR243" s="1">
        <v>0.40238840731434955</v>
      </c>
      <c r="AS243" s="1">
        <v>0.53233528056951429</v>
      </c>
      <c r="AT243" s="1">
        <v>6.5276312116136159E-2</v>
      </c>
      <c r="AU243" s="1">
        <f t="shared" si="55"/>
        <v>0.1375732621440536</v>
      </c>
      <c r="AV243" s="1">
        <v>11</v>
      </c>
      <c r="AW243">
        <v>365</v>
      </c>
      <c r="AX243">
        <v>302</v>
      </c>
      <c r="AY243" s="6">
        <v>16</v>
      </c>
      <c r="AZ243" s="6">
        <v>5</v>
      </c>
      <c r="BA243" s="11">
        <f t="shared" si="56"/>
        <v>22.8125</v>
      </c>
      <c r="BB243">
        <f t="shared" si="57"/>
        <v>18.875</v>
      </c>
      <c r="BC243">
        <f t="shared" si="58"/>
        <v>63</v>
      </c>
      <c r="BD243">
        <f t="shared" si="59"/>
        <v>3.9375</v>
      </c>
      <c r="BE243" s="10">
        <v>9.8922258271177004</v>
      </c>
      <c r="BF243" s="6">
        <v>26.079370000000001</v>
      </c>
      <c r="BG243" s="6">
        <v>27.869330000000001</v>
      </c>
      <c r="BH243" s="6">
        <v>0.57957999999999998</v>
      </c>
      <c r="BI243" s="6">
        <v>0.63492099999999996</v>
      </c>
      <c r="BJ243" s="6"/>
      <c r="BK243" s="6" t="s">
        <v>80</v>
      </c>
      <c r="BL243" s="6" t="s">
        <v>74</v>
      </c>
      <c r="BM243" s="6" t="s">
        <v>81</v>
      </c>
      <c r="BN243" s="6" t="s">
        <v>75</v>
      </c>
    </row>
    <row r="244" spans="1:66">
      <c r="A244" s="1" t="s">
        <v>354</v>
      </c>
      <c r="B244" s="1">
        <v>2015</v>
      </c>
      <c r="C244" s="1" t="s">
        <v>122</v>
      </c>
      <c r="D244" s="1">
        <v>14791795</v>
      </c>
      <c r="E244" s="1">
        <v>4340249</v>
      </c>
      <c r="F244" s="1">
        <v>16040318</v>
      </c>
      <c r="G244" s="1">
        <v>12066813</v>
      </c>
      <c r="H244" s="2">
        <f t="shared" si="45"/>
        <v>28107131</v>
      </c>
      <c r="I244" s="2">
        <f>H244+E244</f>
        <v>32447380</v>
      </c>
      <c r="J244" s="1">
        <v>21165260</v>
      </c>
      <c r="K244" s="2">
        <f t="shared" si="46"/>
        <v>47239175</v>
      </c>
      <c r="L244" s="1">
        <v>68404435</v>
      </c>
      <c r="M244" s="1">
        <v>7937534</v>
      </c>
      <c r="N244" s="1">
        <v>12837644</v>
      </c>
      <c r="O244" s="4">
        <f t="shared" si="47"/>
        <v>20775178</v>
      </c>
      <c r="P244" s="1">
        <v>12503493</v>
      </c>
      <c r="Q244" s="4">
        <f t="shared" si="48"/>
        <v>33278671</v>
      </c>
      <c r="R244" s="1">
        <v>11471634</v>
      </c>
      <c r="S244" s="1">
        <v>4536710</v>
      </c>
      <c r="T244" s="4">
        <f t="shared" si="49"/>
        <v>16008344</v>
      </c>
      <c r="U244" s="1">
        <v>49287015</v>
      </c>
      <c r="V244" s="1">
        <v>2015</v>
      </c>
      <c r="W244" s="8">
        <v>25397095</v>
      </c>
      <c r="X244" s="1">
        <v>0.75</v>
      </c>
      <c r="Y244" s="1">
        <v>1</v>
      </c>
      <c r="Z244" s="1">
        <v>0</v>
      </c>
      <c r="AA244" s="1">
        <v>143280000</v>
      </c>
      <c r="AB244" s="1">
        <v>0.10323698352875489</v>
      </c>
      <c r="AC244" s="1">
        <v>3.0292078447794527E-2</v>
      </c>
      <c r="AD244" s="1">
        <v>0.11195085147962032</v>
      </c>
      <c r="AE244" s="1">
        <v>8.4218404522613061E-2</v>
      </c>
      <c r="AF244" s="2">
        <f t="shared" si="50"/>
        <v>0.19616925600223339</v>
      </c>
      <c r="AG244" s="2">
        <f>AF244+AC244</f>
        <v>0.22646133445002792</v>
      </c>
      <c r="AH244" s="1">
        <v>0.14771957007258515</v>
      </c>
      <c r="AI244" s="2">
        <f t="shared" si="51"/>
        <v>0.3296983179787828</v>
      </c>
      <c r="AJ244" s="1">
        <v>5.5398757677275264E-2</v>
      </c>
      <c r="AK244" s="1">
        <v>8.9598297040759348E-2</v>
      </c>
      <c r="AL244" s="4">
        <f t="shared" si="52"/>
        <v>0.14499705471803462</v>
      </c>
      <c r="AM244" s="1">
        <v>8.7266143216080408E-2</v>
      </c>
      <c r="AN244" s="4">
        <f t="shared" si="53"/>
        <v>0.23226319793411504</v>
      </c>
      <c r="AO244" s="1">
        <v>8.0064447236180905E-2</v>
      </c>
      <c r="AP244" s="1">
        <v>3.1663246789503073E-2</v>
      </c>
      <c r="AQ244" s="4">
        <f t="shared" si="54"/>
        <v>0.11172769402568397</v>
      </c>
      <c r="AR244" s="1">
        <v>0.34399089195979898</v>
      </c>
      <c r="AS244" s="1">
        <v>0.47741788805136798</v>
      </c>
      <c r="AT244" s="1">
        <v>0.17859121998883309</v>
      </c>
      <c r="AU244" s="1">
        <f t="shared" si="55"/>
        <v>0.17725499022892238</v>
      </c>
      <c r="AV244" s="1">
        <v>12</v>
      </c>
      <c r="AW244">
        <v>465</v>
      </c>
      <c r="AX244">
        <v>315</v>
      </c>
      <c r="AY244" s="6">
        <v>3</v>
      </c>
      <c r="AZ244" s="6">
        <v>10</v>
      </c>
      <c r="BA244" s="11">
        <f t="shared" si="56"/>
        <v>29.0625</v>
      </c>
      <c r="BB244">
        <f t="shared" si="57"/>
        <v>19.6875</v>
      </c>
      <c r="BC244">
        <f t="shared" si="58"/>
        <v>150</v>
      </c>
      <c r="BD244">
        <f t="shared" si="59"/>
        <v>9.375</v>
      </c>
      <c r="BE244" s="10">
        <v>12.41899006457</v>
      </c>
      <c r="BF244" s="6">
        <v>26.029409999999999</v>
      </c>
      <c r="BG244" s="6">
        <v>28.671150000000001</v>
      </c>
      <c r="BH244" s="6">
        <v>0.58208800000000005</v>
      </c>
      <c r="BI244" s="6">
        <v>0.57352899999999996</v>
      </c>
      <c r="BJ244" s="6"/>
      <c r="BK244" s="6" t="s">
        <v>67</v>
      </c>
      <c r="BL244" s="6" t="s">
        <v>74</v>
      </c>
      <c r="BM244" s="6" t="s">
        <v>102</v>
      </c>
      <c r="BN244" s="6" t="s">
        <v>70</v>
      </c>
    </row>
    <row r="245" spans="1:66">
      <c r="A245" s="1" t="s">
        <v>355</v>
      </c>
      <c r="B245" s="1">
        <v>2015</v>
      </c>
      <c r="C245" s="1" t="s">
        <v>124</v>
      </c>
      <c r="D245" s="1">
        <v>25358586</v>
      </c>
      <c r="E245" s="1">
        <v>5692821</v>
      </c>
      <c r="F245" s="1">
        <v>9440930</v>
      </c>
      <c r="G245" s="1">
        <v>3887942</v>
      </c>
      <c r="H245" s="2">
        <f t="shared" si="45"/>
        <v>13328872</v>
      </c>
      <c r="I245" s="2">
        <f>H245+E245</f>
        <v>19021693</v>
      </c>
      <c r="J245" s="1">
        <v>18404737</v>
      </c>
      <c r="K245" s="2">
        <f t="shared" si="46"/>
        <v>44380279</v>
      </c>
      <c r="L245" s="1">
        <v>62785016</v>
      </c>
      <c r="M245" s="1">
        <v>4811895</v>
      </c>
      <c r="N245" s="1">
        <v>5489433</v>
      </c>
      <c r="O245" s="4">
        <f t="shared" si="47"/>
        <v>10301328</v>
      </c>
      <c r="P245" s="1">
        <v>10157172</v>
      </c>
      <c r="Q245" s="4">
        <f t="shared" si="48"/>
        <v>20458500</v>
      </c>
      <c r="R245" s="1">
        <v>11168099</v>
      </c>
      <c r="S245" s="1">
        <v>9757823</v>
      </c>
      <c r="T245" s="4">
        <f t="shared" si="49"/>
        <v>20925922</v>
      </c>
      <c r="U245" s="1">
        <v>41384422</v>
      </c>
      <c r="V245" s="1">
        <v>2015</v>
      </c>
      <c r="W245" s="8">
        <v>14799378</v>
      </c>
      <c r="X245" s="1">
        <v>0.438</v>
      </c>
      <c r="Y245" s="1">
        <v>0</v>
      </c>
      <c r="Z245" s="1">
        <v>0</v>
      </c>
      <c r="AA245" s="1">
        <v>143280000</v>
      </c>
      <c r="AB245" s="1">
        <v>0.17698622278056952</v>
      </c>
      <c r="AC245" s="1">
        <v>3.9732139865996649E-2</v>
      </c>
      <c r="AD245" s="1">
        <v>6.5891471245114464E-2</v>
      </c>
      <c r="AE245" s="1">
        <v>2.7135273590173089E-2</v>
      </c>
      <c r="AF245" s="2">
        <f t="shared" si="50"/>
        <v>9.3026744835287556E-2</v>
      </c>
      <c r="AG245" s="2">
        <f>AF245+AC245</f>
        <v>0.13275888470128422</v>
      </c>
      <c r="AH245" s="1">
        <v>0.12845293830262422</v>
      </c>
      <c r="AI245" s="2">
        <f t="shared" si="51"/>
        <v>0.30974510748185374</v>
      </c>
      <c r="AJ245" s="1">
        <v>3.3583856783919598E-2</v>
      </c>
      <c r="AK245" s="1">
        <v>3.8312625628140702E-2</v>
      </c>
      <c r="AL245" s="4">
        <f t="shared" si="52"/>
        <v>7.18964824120603E-2</v>
      </c>
      <c r="AM245" s="1">
        <v>7.0890368509212737E-2</v>
      </c>
      <c r="AN245" s="4">
        <f t="shared" si="53"/>
        <v>0.14278685092127302</v>
      </c>
      <c r="AO245" s="1">
        <v>7.7945972920156342E-2</v>
      </c>
      <c r="AP245" s="1">
        <v>6.8103175600223345E-2</v>
      </c>
      <c r="AQ245" s="4">
        <f t="shared" si="54"/>
        <v>0.1460491485203797</v>
      </c>
      <c r="AR245" s="1">
        <v>0.28883599944165272</v>
      </c>
      <c r="AS245" s="1">
        <v>0.43819804578447796</v>
      </c>
      <c r="AT245" s="1">
        <v>0.27296595477386931</v>
      </c>
      <c r="AU245" s="1">
        <f t="shared" si="55"/>
        <v>0.10328990787269682</v>
      </c>
      <c r="AV245" s="1">
        <v>7</v>
      </c>
      <c r="AW245">
        <v>408</v>
      </c>
      <c r="AX245">
        <v>476</v>
      </c>
      <c r="AY245" s="6">
        <v>8</v>
      </c>
      <c r="AZ245" s="6">
        <v>32</v>
      </c>
      <c r="BA245" s="11">
        <f t="shared" si="56"/>
        <v>25.5</v>
      </c>
      <c r="BB245">
        <f t="shared" si="57"/>
        <v>29.75</v>
      </c>
      <c r="BC245">
        <f t="shared" si="58"/>
        <v>-68</v>
      </c>
      <c r="BD245">
        <f t="shared" si="59"/>
        <v>-4.25</v>
      </c>
      <c r="BE245" s="10">
        <v>6.0875578373907304</v>
      </c>
      <c r="BF245" s="6">
        <v>26.75</v>
      </c>
      <c r="BG245" s="6">
        <v>30.006810000000002</v>
      </c>
      <c r="BH245" s="6">
        <v>0.63204099999999996</v>
      </c>
      <c r="BI245" s="6">
        <v>0.47058800000000001</v>
      </c>
      <c r="BJ245" s="6"/>
      <c r="BK245" s="6" t="s">
        <v>67</v>
      </c>
      <c r="BL245" s="6" t="s">
        <v>96</v>
      </c>
      <c r="BM245" s="6" t="s">
        <v>70</v>
      </c>
      <c r="BN245" s="6" t="s">
        <v>70</v>
      </c>
    </row>
    <row r="246" spans="1:66">
      <c r="A246" s="1" t="s">
        <v>356</v>
      </c>
      <c r="B246" s="1">
        <v>2015</v>
      </c>
      <c r="C246" s="1" t="s">
        <v>126</v>
      </c>
      <c r="D246" s="1">
        <v>15240800</v>
      </c>
      <c r="E246" s="1">
        <v>6883801</v>
      </c>
      <c r="F246" s="1">
        <v>14975789</v>
      </c>
      <c r="G246" s="1">
        <v>1889705</v>
      </c>
      <c r="H246" s="2">
        <f t="shared" si="45"/>
        <v>16865494</v>
      </c>
      <c r="I246" s="2">
        <f>H246+E246</f>
        <v>23749295</v>
      </c>
      <c r="J246" s="1">
        <v>23070742</v>
      </c>
      <c r="K246" s="2">
        <f t="shared" si="46"/>
        <v>38990095</v>
      </c>
      <c r="L246" s="1">
        <v>62060837</v>
      </c>
      <c r="M246" s="1">
        <v>5124721</v>
      </c>
      <c r="N246" s="1">
        <v>13672478</v>
      </c>
      <c r="O246" s="4">
        <f t="shared" si="47"/>
        <v>18797199</v>
      </c>
      <c r="P246" s="1">
        <v>10989660</v>
      </c>
      <c r="Q246" s="4">
        <f t="shared" si="48"/>
        <v>29786859</v>
      </c>
      <c r="R246" s="1">
        <v>3336069</v>
      </c>
      <c r="S246" s="1">
        <v>17527051</v>
      </c>
      <c r="T246" s="4">
        <f t="shared" si="49"/>
        <v>20863120</v>
      </c>
      <c r="U246" s="1">
        <v>50649979</v>
      </c>
      <c r="V246" s="1">
        <v>2015</v>
      </c>
      <c r="W246" s="8">
        <v>34027576</v>
      </c>
      <c r="X246" s="1">
        <v>0.375</v>
      </c>
      <c r="Y246" s="1">
        <v>0</v>
      </c>
      <c r="Z246" s="1">
        <v>0</v>
      </c>
      <c r="AA246" s="1">
        <v>143280000</v>
      </c>
      <c r="AB246" s="1">
        <v>0.10637074260189838</v>
      </c>
      <c r="AC246" s="1">
        <v>4.8044395589056391E-2</v>
      </c>
      <c r="AD246" s="1">
        <v>0.10452114042434395</v>
      </c>
      <c r="AE246" s="1">
        <v>1.3188895868230039E-2</v>
      </c>
      <c r="AF246" s="2">
        <f t="shared" si="50"/>
        <v>0.11771003629257398</v>
      </c>
      <c r="AG246" s="2">
        <f>AF246+AC246</f>
        <v>0.16575443188163036</v>
      </c>
      <c r="AH246" s="1">
        <v>0.16101857900614183</v>
      </c>
      <c r="AI246" s="2">
        <f t="shared" si="51"/>
        <v>0.27212517448352874</v>
      </c>
      <c r="AJ246" s="1">
        <v>3.5767176158570634E-2</v>
      </c>
      <c r="AK246" s="1">
        <v>9.5424888330541593E-2</v>
      </c>
      <c r="AL246" s="4">
        <f t="shared" si="52"/>
        <v>0.13119206448911222</v>
      </c>
      <c r="AM246" s="1">
        <v>7.6700586264656617E-2</v>
      </c>
      <c r="AN246" s="4">
        <f t="shared" si="53"/>
        <v>0.20789265075376884</v>
      </c>
      <c r="AO246" s="1">
        <v>2.3283563651591292E-2</v>
      </c>
      <c r="AP246" s="1">
        <v>0.12232726828587381</v>
      </c>
      <c r="AQ246" s="4">
        <f t="shared" si="54"/>
        <v>0.1456108319374651</v>
      </c>
      <c r="AR246" s="1">
        <v>0.35350348269123394</v>
      </c>
      <c r="AS246" s="1">
        <v>0.4331437534896706</v>
      </c>
      <c r="AT246" s="1">
        <v>0.21335276381909551</v>
      </c>
      <c r="AU246" s="1">
        <f t="shared" si="55"/>
        <v>0.23749006141820211</v>
      </c>
      <c r="AV246" s="1">
        <v>6</v>
      </c>
      <c r="AW246">
        <v>420</v>
      </c>
      <c r="AX246">
        <v>442</v>
      </c>
      <c r="AY246" s="6">
        <v>6</v>
      </c>
      <c r="AZ246" s="6">
        <v>30</v>
      </c>
      <c r="BA246" s="11">
        <f t="shared" si="56"/>
        <v>26.25</v>
      </c>
      <c r="BB246">
        <f t="shared" si="57"/>
        <v>27.625</v>
      </c>
      <c r="BC246">
        <f t="shared" si="58"/>
        <v>-22</v>
      </c>
      <c r="BD246">
        <f t="shared" si="59"/>
        <v>-1.375</v>
      </c>
      <c r="BE246" s="10">
        <v>7.4235481238597396</v>
      </c>
      <c r="BF246" s="6">
        <v>26.2027</v>
      </c>
      <c r="BG246" s="6">
        <v>28.167020000000001</v>
      </c>
      <c r="BH246" s="6">
        <v>0.62539900000000004</v>
      </c>
      <c r="BI246" s="6">
        <v>0.5</v>
      </c>
      <c r="BJ246" s="6"/>
      <c r="BK246" s="6" t="s">
        <v>80</v>
      </c>
      <c r="BL246" s="6" t="s">
        <v>68</v>
      </c>
      <c r="BM246" s="6" t="s">
        <v>92</v>
      </c>
      <c r="BN246" s="6" t="s">
        <v>70</v>
      </c>
    </row>
    <row r="247" spans="1:66">
      <c r="A247" s="1" t="s">
        <v>357</v>
      </c>
      <c r="B247" s="1">
        <v>2015</v>
      </c>
      <c r="C247" s="1" t="s">
        <v>128</v>
      </c>
      <c r="D247" s="1">
        <v>5192407</v>
      </c>
      <c r="E247" s="1">
        <v>6431875</v>
      </c>
      <c r="F247" s="1">
        <v>20552089</v>
      </c>
      <c r="G247" s="1">
        <v>4191281</v>
      </c>
      <c r="H247" s="2">
        <f t="shared" si="45"/>
        <v>24743370</v>
      </c>
      <c r="I247" s="2">
        <f>H247+E247</f>
        <v>31175245</v>
      </c>
      <c r="J247" s="1">
        <v>33201673</v>
      </c>
      <c r="K247" s="2">
        <f t="shared" si="46"/>
        <v>36367652</v>
      </c>
      <c r="L247" s="1">
        <v>69569325</v>
      </c>
      <c r="M247" s="1">
        <v>17349030</v>
      </c>
      <c r="N247" s="1">
        <v>3696387</v>
      </c>
      <c r="O247" s="4">
        <f t="shared" si="47"/>
        <v>21045417</v>
      </c>
      <c r="P247" s="1">
        <v>10546255</v>
      </c>
      <c r="Q247" s="4">
        <f t="shared" si="48"/>
        <v>31591672</v>
      </c>
      <c r="R247" s="1">
        <v>8846076</v>
      </c>
      <c r="S247" s="1">
        <v>31508947</v>
      </c>
      <c r="T247" s="4">
        <f t="shared" si="49"/>
        <v>40355023</v>
      </c>
      <c r="U247" s="1">
        <v>71946695</v>
      </c>
      <c r="V247" s="1">
        <v>2015</v>
      </c>
      <c r="W247" s="8">
        <v>9275077</v>
      </c>
      <c r="X247" s="1">
        <v>0.625</v>
      </c>
      <c r="Y247" s="1">
        <v>0</v>
      </c>
      <c r="Z247" s="1">
        <v>0</v>
      </c>
      <c r="AA247" s="1">
        <v>143280000</v>
      </c>
      <c r="AB247" s="1">
        <v>3.6239579843662759E-2</v>
      </c>
      <c r="AC247" s="1">
        <v>4.4890249860413178E-2</v>
      </c>
      <c r="AD247" s="1">
        <v>0.14344004048017867</v>
      </c>
      <c r="AE247" s="1">
        <v>2.9252379955332218E-2</v>
      </c>
      <c r="AF247" s="2">
        <f t="shared" si="50"/>
        <v>0.17269242043551089</v>
      </c>
      <c r="AG247" s="2">
        <f>AF247+AC247</f>
        <v>0.21758267029592407</v>
      </c>
      <c r="AH247" s="1">
        <v>0.23172580262423229</v>
      </c>
      <c r="AI247" s="2">
        <f t="shared" si="51"/>
        <v>0.25382225013958681</v>
      </c>
      <c r="AJ247" s="1">
        <v>0.12108479899497487</v>
      </c>
      <c r="AK247" s="1">
        <v>2.5798345896147403E-2</v>
      </c>
      <c r="AL247" s="4">
        <f t="shared" si="52"/>
        <v>0.14688314489112228</v>
      </c>
      <c r="AM247" s="1">
        <v>7.360591150195421E-2</v>
      </c>
      <c r="AN247" s="4">
        <f t="shared" si="53"/>
        <v>0.22048905639307648</v>
      </c>
      <c r="AO247" s="1">
        <v>6.1739782244556111E-2</v>
      </c>
      <c r="AP247" s="1">
        <v>0.21991169039642658</v>
      </c>
      <c r="AQ247" s="4">
        <f t="shared" si="54"/>
        <v>0.28165147264098267</v>
      </c>
      <c r="AR247" s="1">
        <v>0.50214052903405915</v>
      </c>
      <c r="AS247" s="1">
        <v>0.48554805276381907</v>
      </c>
      <c r="AT247" s="1">
        <v>1.2311418202121782E-2</v>
      </c>
      <c r="AU247" s="1">
        <f t="shared" si="55"/>
        <v>6.4733926577331097E-2</v>
      </c>
      <c r="AV247" s="1">
        <v>10</v>
      </c>
      <c r="AW247">
        <v>387</v>
      </c>
      <c r="AX247">
        <v>314</v>
      </c>
      <c r="AY247" s="6">
        <v>11</v>
      </c>
      <c r="AZ247" s="6">
        <v>9</v>
      </c>
      <c r="BA247" s="11">
        <f t="shared" si="56"/>
        <v>24.1875</v>
      </c>
      <c r="BB247">
        <f t="shared" si="57"/>
        <v>19.625</v>
      </c>
      <c r="BC247">
        <f t="shared" si="58"/>
        <v>73</v>
      </c>
      <c r="BD247">
        <f t="shared" si="59"/>
        <v>4.5625</v>
      </c>
      <c r="BE247" s="10">
        <v>10.1826584980892</v>
      </c>
      <c r="BF247" s="6">
        <v>26.619050000000001</v>
      </c>
      <c r="BG247" s="6">
        <v>28.57432</v>
      </c>
      <c r="BH247" s="6">
        <v>0.58843000000000001</v>
      </c>
      <c r="BI247" s="6">
        <v>0.60317500000000002</v>
      </c>
      <c r="BJ247" s="6"/>
      <c r="BK247" s="6" t="s">
        <v>67</v>
      </c>
      <c r="BL247" s="6" t="s">
        <v>74</v>
      </c>
      <c r="BM247" s="6" t="s">
        <v>102</v>
      </c>
      <c r="BN247" s="6" t="s">
        <v>70</v>
      </c>
    </row>
    <row r="248" spans="1:66">
      <c r="A248" s="1" t="s">
        <v>358</v>
      </c>
      <c r="B248" s="1">
        <v>2015</v>
      </c>
      <c r="C248" s="1" t="s">
        <v>112</v>
      </c>
      <c r="D248" s="1">
        <v>1918064</v>
      </c>
      <c r="E248" s="1">
        <v>3907750</v>
      </c>
      <c r="F248" s="1">
        <v>12243561</v>
      </c>
      <c r="G248" s="1">
        <v>4799545</v>
      </c>
      <c r="H248" s="2">
        <f>SUM(F248:G248)</f>
        <v>17043106</v>
      </c>
      <c r="I248" s="2">
        <f>H248+E248</f>
        <v>20950856</v>
      </c>
      <c r="J248" s="1">
        <v>31155998</v>
      </c>
      <c r="K248" s="2">
        <f>SUM(D248:G248)</f>
        <v>22868920</v>
      </c>
      <c r="L248" s="1">
        <v>54024918</v>
      </c>
      <c r="M248" s="1">
        <v>10429225</v>
      </c>
      <c r="N248" s="1">
        <v>13003817</v>
      </c>
      <c r="O248" s="4">
        <f>SUM(M248:N248)</f>
        <v>23433042</v>
      </c>
      <c r="P248" s="1">
        <v>12767283</v>
      </c>
      <c r="Q248" s="4">
        <f>SUM(O248:P248)</f>
        <v>36200325</v>
      </c>
      <c r="R248" s="1">
        <v>14730695</v>
      </c>
      <c r="S248" s="1">
        <v>4515992</v>
      </c>
      <c r="T248" s="4">
        <f>SUM(R248:S248)</f>
        <v>19246687</v>
      </c>
      <c r="U248" s="1">
        <v>55447012</v>
      </c>
      <c r="V248" s="1">
        <v>2015</v>
      </c>
      <c r="W248" s="8">
        <v>26030509</v>
      </c>
      <c r="X248" s="1">
        <v>0.438</v>
      </c>
      <c r="Y248" s="1">
        <v>0</v>
      </c>
      <c r="Z248" s="1">
        <v>0</v>
      </c>
      <c r="AA248" s="1">
        <v>143280000</v>
      </c>
      <c r="AB248" s="1">
        <v>1.3386823003908432E-2</v>
      </c>
      <c r="AC248" s="1">
        <v>2.7273520379676158E-2</v>
      </c>
      <c r="AD248" s="1">
        <v>8.5451989112227802E-2</v>
      </c>
      <c r="AE248" s="1">
        <v>3.3497661920714683E-2</v>
      </c>
      <c r="AF248" s="2">
        <f>SUM(AD248:AE248)</f>
        <v>0.11894965103294249</v>
      </c>
      <c r="AG248" s="2">
        <f>AF248+AC248</f>
        <v>0.14622317141261865</v>
      </c>
      <c r="AH248" s="1">
        <v>0.21744833891680626</v>
      </c>
      <c r="AI248" s="2">
        <f>SUM(AB248:AE248)</f>
        <v>0.15960999441652707</v>
      </c>
      <c r="AJ248" s="1">
        <v>7.2789119207146841E-2</v>
      </c>
      <c r="AK248" s="1">
        <v>9.0758075097710778E-2</v>
      </c>
      <c r="AL248" s="4">
        <f>SUM(AJ248:AK248)</f>
        <v>0.16354719430485762</v>
      </c>
      <c r="AM248" s="1">
        <v>8.9107223618090453E-2</v>
      </c>
      <c r="AN248" s="4">
        <f>SUM(AL248:AM248)</f>
        <v>0.25265441792294807</v>
      </c>
      <c r="AO248" s="1">
        <v>0.10281054578447794</v>
      </c>
      <c r="AP248" s="1">
        <v>3.1518648799553323E-2</v>
      </c>
      <c r="AQ248" s="4">
        <f>SUM(AO248:AP248)</f>
        <v>0.13432919458403125</v>
      </c>
      <c r="AR248" s="1">
        <v>0.38698361250697932</v>
      </c>
      <c r="AS248" s="1">
        <v>0.37705833333333333</v>
      </c>
      <c r="AT248" s="1">
        <v>0.23595805415968729</v>
      </c>
      <c r="AU248" s="1">
        <f t="shared" si="55"/>
        <v>0.18167580262423227</v>
      </c>
      <c r="AV248" s="1">
        <v>7</v>
      </c>
      <c r="AW248">
        <v>359</v>
      </c>
      <c r="AX248">
        <v>399</v>
      </c>
      <c r="AY248" s="6">
        <v>17</v>
      </c>
      <c r="AZ248" s="6">
        <v>22</v>
      </c>
      <c r="BA248" s="11">
        <f t="shared" si="56"/>
        <v>22.4375</v>
      </c>
      <c r="BB248">
        <f t="shared" si="57"/>
        <v>24.9375</v>
      </c>
      <c r="BC248">
        <f t="shared" si="58"/>
        <v>-40</v>
      </c>
      <c r="BD248">
        <f t="shared" si="59"/>
        <v>-2.5</v>
      </c>
      <c r="BE248" s="10">
        <v>6.900769316111</v>
      </c>
      <c r="BF248" s="6">
        <v>26.5</v>
      </c>
      <c r="BG248" s="6">
        <v>27.918510000000001</v>
      </c>
      <c r="BH248" s="6">
        <v>0.58536699999999997</v>
      </c>
      <c r="BI248" s="6">
        <v>0.5</v>
      </c>
      <c r="BJ248" s="6"/>
      <c r="BK248" s="6" t="s">
        <v>80</v>
      </c>
      <c r="BL248" s="6" t="s">
        <v>74</v>
      </c>
      <c r="BM248" s="6" t="s">
        <v>81</v>
      </c>
      <c r="BN248" s="6" t="s">
        <v>75</v>
      </c>
    </row>
    <row r="249" spans="1:66">
      <c r="A249" s="1" t="s">
        <v>359</v>
      </c>
      <c r="B249" s="1">
        <v>2015</v>
      </c>
      <c r="C249" s="1" t="s">
        <v>130</v>
      </c>
      <c r="D249" s="1">
        <v>17392354</v>
      </c>
      <c r="E249" s="1">
        <v>12012071</v>
      </c>
      <c r="F249" s="1">
        <v>9224526</v>
      </c>
      <c r="G249" s="1">
        <v>6878554</v>
      </c>
      <c r="H249" s="2">
        <f t="shared" si="45"/>
        <v>16103080</v>
      </c>
      <c r="I249" s="2">
        <f>H249+E249</f>
        <v>28115151</v>
      </c>
      <c r="J249" s="1">
        <v>23951203</v>
      </c>
      <c r="K249" s="2">
        <f t="shared" si="46"/>
        <v>45507505</v>
      </c>
      <c r="L249" s="1">
        <v>69458708</v>
      </c>
      <c r="M249" s="1">
        <v>8704164</v>
      </c>
      <c r="N249" s="1">
        <v>16527523</v>
      </c>
      <c r="O249" s="4">
        <f t="shared" si="47"/>
        <v>25231687</v>
      </c>
      <c r="P249" s="1">
        <v>8452587</v>
      </c>
      <c r="Q249" s="4">
        <f t="shared" si="48"/>
        <v>33684274</v>
      </c>
      <c r="R249" s="1">
        <v>11129568</v>
      </c>
      <c r="S249" s="1">
        <v>13900914</v>
      </c>
      <c r="T249" s="4">
        <f t="shared" si="49"/>
        <v>25030482</v>
      </c>
      <c r="U249" s="1">
        <v>58714756</v>
      </c>
      <c r="V249" s="1">
        <v>2015</v>
      </c>
      <c r="W249" s="8">
        <v>7038928</v>
      </c>
      <c r="X249" s="1">
        <v>0.438</v>
      </c>
      <c r="Y249" s="1">
        <v>0</v>
      </c>
      <c r="Z249" s="1">
        <v>0</v>
      </c>
      <c r="AA249" s="1">
        <v>143280000</v>
      </c>
      <c r="AB249" s="1">
        <v>0.12138717197096593</v>
      </c>
      <c r="AC249" s="1">
        <v>8.3836341429369063E-2</v>
      </c>
      <c r="AD249" s="1">
        <v>6.4381113902847564E-2</v>
      </c>
      <c r="AE249" s="1">
        <v>4.8007774986041321E-2</v>
      </c>
      <c r="AF249" s="2">
        <f t="shared" si="50"/>
        <v>0.11238888888888889</v>
      </c>
      <c r="AG249" s="2">
        <f>AF249+AC249</f>
        <v>0.19622523031825795</v>
      </c>
      <c r="AH249" s="1">
        <v>0.16716361669458404</v>
      </c>
      <c r="AI249" s="2">
        <f t="shared" si="51"/>
        <v>0.31761240228922388</v>
      </c>
      <c r="AJ249" s="1">
        <v>6.0749329983249584E-2</v>
      </c>
      <c r="AK249" s="1">
        <v>0.11535122138470129</v>
      </c>
      <c r="AL249" s="4">
        <f t="shared" si="52"/>
        <v>0.17610055136795089</v>
      </c>
      <c r="AM249" s="1">
        <v>5.8993488274706865E-2</v>
      </c>
      <c r="AN249" s="4">
        <f t="shared" si="53"/>
        <v>0.23509403964265774</v>
      </c>
      <c r="AO249" s="1">
        <v>7.767705192629816E-2</v>
      </c>
      <c r="AP249" s="1">
        <v>9.7019221105527645E-2</v>
      </c>
      <c r="AQ249" s="4">
        <f t="shared" si="54"/>
        <v>0.17469627303182581</v>
      </c>
      <c r="AR249" s="1">
        <v>0.40979031267448351</v>
      </c>
      <c r="AS249" s="1">
        <v>0.48477601898380795</v>
      </c>
      <c r="AT249" s="1">
        <v>0.10543366834170853</v>
      </c>
      <c r="AU249" s="1">
        <f t="shared" si="55"/>
        <v>4.9127079843662755E-2</v>
      </c>
      <c r="AV249" s="1">
        <v>7</v>
      </c>
      <c r="AW249">
        <v>377</v>
      </c>
      <c r="AX249">
        <v>430</v>
      </c>
      <c r="AY249" s="6">
        <v>13</v>
      </c>
      <c r="AZ249" s="6">
        <v>28</v>
      </c>
      <c r="BA249" s="11">
        <f t="shared" si="56"/>
        <v>23.5625</v>
      </c>
      <c r="BB249">
        <f t="shared" si="57"/>
        <v>26.875</v>
      </c>
      <c r="BC249">
        <f t="shared" si="58"/>
        <v>-53</v>
      </c>
      <c r="BD249">
        <f t="shared" si="59"/>
        <v>-3.3125</v>
      </c>
      <c r="BE249" s="10">
        <v>6.52320684384802</v>
      </c>
      <c r="BF249" s="6">
        <v>26.48387</v>
      </c>
      <c r="BG249" s="6">
        <v>27.929649999999999</v>
      </c>
      <c r="BH249" s="6">
        <v>0.57236399999999998</v>
      </c>
      <c r="BI249" s="6">
        <v>0.62903200000000004</v>
      </c>
      <c r="BJ249" s="6"/>
      <c r="BK249" s="6" t="s">
        <v>80</v>
      </c>
      <c r="BL249" s="6" t="s">
        <v>74</v>
      </c>
      <c r="BM249" s="6" t="s">
        <v>81</v>
      </c>
      <c r="BN249" s="6" t="s">
        <v>75</v>
      </c>
    </row>
    <row r="250" spans="1:66">
      <c r="A250" s="1" t="s">
        <v>360</v>
      </c>
      <c r="B250" s="1">
        <v>2015</v>
      </c>
      <c r="C250" s="1" t="s">
        <v>132</v>
      </c>
      <c r="D250" s="1">
        <v>20358139</v>
      </c>
      <c r="E250" s="1">
        <v>3265082</v>
      </c>
      <c r="F250" s="1">
        <v>10701027</v>
      </c>
      <c r="G250" s="1">
        <v>6131594</v>
      </c>
      <c r="H250" s="2">
        <f t="shared" si="45"/>
        <v>16832621</v>
      </c>
      <c r="I250" s="2">
        <f>H250+E250</f>
        <v>20097703</v>
      </c>
      <c r="J250" s="1">
        <v>18800947</v>
      </c>
      <c r="K250" s="2">
        <f t="shared" si="46"/>
        <v>40455842</v>
      </c>
      <c r="L250" s="1">
        <v>59256789</v>
      </c>
      <c r="M250" s="1">
        <v>14557602</v>
      </c>
      <c r="N250" s="1">
        <v>7727575</v>
      </c>
      <c r="O250" s="4">
        <f t="shared" si="47"/>
        <v>22285177</v>
      </c>
      <c r="P250" s="1">
        <v>13207206</v>
      </c>
      <c r="Q250" s="4">
        <f t="shared" si="48"/>
        <v>35492383</v>
      </c>
      <c r="R250" s="1">
        <v>5560650</v>
      </c>
      <c r="S250" s="1">
        <v>13377624</v>
      </c>
      <c r="T250" s="4">
        <f t="shared" si="49"/>
        <v>18938274</v>
      </c>
      <c r="U250" s="1">
        <v>54430657</v>
      </c>
      <c r="V250" s="1">
        <v>2015</v>
      </c>
      <c r="W250" s="8">
        <v>23114206</v>
      </c>
      <c r="X250" s="1">
        <v>0.625</v>
      </c>
      <c r="Y250" s="1">
        <v>1</v>
      </c>
      <c r="Z250" s="1">
        <v>0</v>
      </c>
      <c r="AA250" s="1">
        <v>143280000</v>
      </c>
      <c r="AB250" s="1">
        <v>0.14208639726409827</v>
      </c>
      <c r="AC250" s="1">
        <v>2.2788121161362366E-2</v>
      </c>
      <c r="AD250" s="1">
        <v>7.4686118090452266E-2</v>
      </c>
      <c r="AE250" s="1">
        <v>4.2794486320491348E-2</v>
      </c>
      <c r="AF250" s="2">
        <f t="shared" si="50"/>
        <v>0.11748060441094361</v>
      </c>
      <c r="AG250" s="2">
        <f>AF250+AC250</f>
        <v>0.14026872557230599</v>
      </c>
      <c r="AH250" s="1">
        <v>0.13121822305974315</v>
      </c>
      <c r="AI250" s="2">
        <f t="shared" si="51"/>
        <v>0.28235512283640429</v>
      </c>
      <c r="AJ250" s="1">
        <v>0.10160247068676717</v>
      </c>
      <c r="AK250" s="1">
        <v>5.3933382188721388E-2</v>
      </c>
      <c r="AL250" s="4">
        <f t="shared" si="52"/>
        <v>0.15553585287548854</v>
      </c>
      <c r="AM250" s="1">
        <v>9.2177596314907878E-2</v>
      </c>
      <c r="AN250" s="4">
        <f t="shared" si="53"/>
        <v>0.24771344919039642</v>
      </c>
      <c r="AO250" s="1">
        <v>3.880967336683417E-2</v>
      </c>
      <c r="AP250" s="1">
        <v>9.3367001675041875E-2</v>
      </c>
      <c r="AQ250" s="4">
        <f t="shared" si="54"/>
        <v>0.13217667504187605</v>
      </c>
      <c r="AR250" s="1">
        <v>0.37989012423227247</v>
      </c>
      <c r="AS250" s="1">
        <v>0.41357334589614742</v>
      </c>
      <c r="AT250" s="1">
        <v>0.20653652987158011</v>
      </c>
      <c r="AU250" s="1">
        <f t="shared" si="55"/>
        <v>0.1613219290898939</v>
      </c>
      <c r="AV250" s="1">
        <v>10</v>
      </c>
      <c r="AW250">
        <v>423</v>
      </c>
      <c r="AX250">
        <v>319</v>
      </c>
      <c r="AY250" s="6">
        <v>4</v>
      </c>
      <c r="AZ250" s="6">
        <v>11</v>
      </c>
      <c r="BA250" s="11">
        <f t="shared" si="56"/>
        <v>26.4375</v>
      </c>
      <c r="BB250">
        <f t="shared" si="57"/>
        <v>19.9375</v>
      </c>
      <c r="BC250">
        <f t="shared" si="58"/>
        <v>104</v>
      </c>
      <c r="BD250">
        <f t="shared" si="59"/>
        <v>6.5</v>
      </c>
      <c r="BE250" s="10">
        <v>11.082999778101</v>
      </c>
      <c r="BF250" s="6">
        <v>26.594200000000001</v>
      </c>
      <c r="BG250" s="6">
        <v>28.240310000000001</v>
      </c>
      <c r="BH250" s="6">
        <v>0.57652400000000004</v>
      </c>
      <c r="BI250" s="6">
        <v>0.62318799999999996</v>
      </c>
      <c r="BJ250" s="6"/>
      <c r="BK250" s="6" t="s">
        <v>80</v>
      </c>
      <c r="BL250" s="6" t="s">
        <v>74</v>
      </c>
      <c r="BM250" s="6" t="s">
        <v>81</v>
      </c>
      <c r="BN250" s="6" t="s">
        <v>75</v>
      </c>
    </row>
    <row r="251" spans="1:66">
      <c r="A251" s="1" t="s">
        <v>361</v>
      </c>
      <c r="B251" s="1">
        <v>2015</v>
      </c>
      <c r="C251" s="1" t="s">
        <v>114</v>
      </c>
      <c r="D251" s="1">
        <v>23002368</v>
      </c>
      <c r="E251" s="1">
        <v>7201545</v>
      </c>
      <c r="F251" s="1">
        <v>8556430</v>
      </c>
      <c r="G251" s="1">
        <v>10790590</v>
      </c>
      <c r="H251" s="2">
        <f>SUM(F251:G251)</f>
        <v>19347020</v>
      </c>
      <c r="I251" s="2">
        <f>H251+E251</f>
        <v>26548565</v>
      </c>
      <c r="J251" s="1">
        <v>18814927</v>
      </c>
      <c r="K251" s="2">
        <f>SUM(D251:G251)</f>
        <v>49550933</v>
      </c>
      <c r="L251" s="1">
        <v>68365860</v>
      </c>
      <c r="M251" s="1">
        <v>13709705</v>
      </c>
      <c r="N251" s="1">
        <v>4619834</v>
      </c>
      <c r="O251" s="4">
        <f>SUM(M251:N251)</f>
        <v>18329539</v>
      </c>
      <c r="P251" s="1">
        <v>10188872</v>
      </c>
      <c r="Q251" s="4">
        <f>SUM(O251:P251)</f>
        <v>28518411</v>
      </c>
      <c r="R251" s="1">
        <v>12240418</v>
      </c>
      <c r="S251" s="1">
        <v>9571186</v>
      </c>
      <c r="T251" s="4">
        <f>SUM(R251:S251)</f>
        <v>21811604</v>
      </c>
      <c r="U251" s="1">
        <v>50330015</v>
      </c>
      <c r="V251" s="1">
        <v>2015</v>
      </c>
      <c r="W251" s="8">
        <v>32423456</v>
      </c>
      <c r="X251" s="1">
        <v>0.25</v>
      </c>
      <c r="Y251" s="1">
        <v>0</v>
      </c>
      <c r="Z251" s="1">
        <v>0</v>
      </c>
      <c r="AA251" s="1">
        <v>143280000</v>
      </c>
      <c r="AB251" s="1">
        <v>0.16054137353433837</v>
      </c>
      <c r="AC251" s="1">
        <v>5.0262039363484085E-2</v>
      </c>
      <c r="AD251" s="1">
        <v>5.971824399776661E-2</v>
      </c>
      <c r="AE251" s="1">
        <v>7.5311208821887216E-2</v>
      </c>
      <c r="AF251" s="2">
        <f>SUM(AD251:AE251)</f>
        <v>0.13502945281965384</v>
      </c>
      <c r="AG251" s="2">
        <f>AF251+AC251</f>
        <v>0.18529149218313792</v>
      </c>
      <c r="AH251" s="1">
        <v>0.1313157942490229</v>
      </c>
      <c r="AI251" s="2">
        <f>SUM(AB251:AE251)</f>
        <v>0.34583286571747629</v>
      </c>
      <c r="AJ251" s="1">
        <v>9.5684708263539919E-2</v>
      </c>
      <c r="AK251" s="1">
        <v>3.2243397543271914E-2</v>
      </c>
      <c r="AL251" s="4">
        <f>SUM(AJ251:AK251)</f>
        <v>0.12792810580681183</v>
      </c>
      <c r="AM251" s="1">
        <v>7.1111613623673922E-2</v>
      </c>
      <c r="AN251" s="4">
        <f>SUM(AL251:AM251)</f>
        <v>0.19903971943048576</v>
      </c>
      <c r="AO251" s="1">
        <v>8.543005304299274E-2</v>
      </c>
      <c r="AP251" s="1">
        <v>6.6800572305974318E-2</v>
      </c>
      <c r="AQ251" s="4">
        <f>SUM(AO251:AP251)</f>
        <v>0.15223062534896706</v>
      </c>
      <c r="AR251" s="1">
        <v>0.35127034477945279</v>
      </c>
      <c r="AS251" s="1">
        <v>0.47714865996649919</v>
      </c>
      <c r="AT251" s="1">
        <v>0.17158099525404802</v>
      </c>
      <c r="AU251" s="1">
        <f t="shared" si="55"/>
        <v>0.22629436069235065</v>
      </c>
      <c r="AV251" s="1">
        <v>4</v>
      </c>
      <c r="AW251">
        <v>320</v>
      </c>
      <c r="AX251">
        <v>398</v>
      </c>
      <c r="AY251" s="6">
        <v>26</v>
      </c>
      <c r="AZ251" s="6">
        <v>21</v>
      </c>
      <c r="BA251" s="11">
        <f t="shared" si="56"/>
        <v>20</v>
      </c>
      <c r="BB251">
        <f t="shared" si="57"/>
        <v>24.875</v>
      </c>
      <c r="BC251">
        <f t="shared" si="58"/>
        <v>-78</v>
      </c>
      <c r="BD251">
        <f t="shared" si="59"/>
        <v>-4.875</v>
      </c>
      <c r="BE251" s="10">
        <v>5.7971251664191996</v>
      </c>
      <c r="BF251" s="6">
        <v>26.338239999999999</v>
      </c>
      <c r="BG251" s="6">
        <v>29.27439</v>
      </c>
      <c r="BH251" s="6">
        <v>0.64320900000000003</v>
      </c>
      <c r="BI251" s="6">
        <v>0.60294099999999995</v>
      </c>
      <c r="BJ251" s="6"/>
      <c r="BK251" s="6" t="s">
        <v>67</v>
      </c>
      <c r="BL251" s="6" t="s">
        <v>96</v>
      </c>
      <c r="BM251" s="6" t="s">
        <v>70</v>
      </c>
      <c r="BN251" s="6" t="s">
        <v>70</v>
      </c>
    </row>
    <row r="252" spans="1:66">
      <c r="A252" s="1" t="s">
        <v>362</v>
      </c>
      <c r="B252" s="1">
        <v>2015</v>
      </c>
      <c r="C252" s="1" t="s">
        <v>134</v>
      </c>
      <c r="D252" s="1">
        <v>17234471</v>
      </c>
      <c r="E252" s="1">
        <v>4458248</v>
      </c>
      <c r="F252" s="1">
        <v>13805614</v>
      </c>
      <c r="G252" s="1">
        <v>2762661</v>
      </c>
      <c r="H252" s="2">
        <f t="shared" si="45"/>
        <v>16568275</v>
      </c>
      <c r="I252" s="2">
        <f>H252+E252</f>
        <v>21026523</v>
      </c>
      <c r="J252" s="1">
        <v>19757909</v>
      </c>
      <c r="K252" s="2">
        <f t="shared" si="46"/>
        <v>38260994</v>
      </c>
      <c r="L252" s="1">
        <v>58018903</v>
      </c>
      <c r="M252" s="1">
        <v>6591793</v>
      </c>
      <c r="N252" s="1">
        <v>11474979</v>
      </c>
      <c r="O252" s="4">
        <f t="shared" si="47"/>
        <v>18066772</v>
      </c>
      <c r="P252" s="1">
        <v>10783706</v>
      </c>
      <c r="Q252" s="4">
        <f t="shared" si="48"/>
        <v>28850478</v>
      </c>
      <c r="R252" s="1">
        <v>8880119</v>
      </c>
      <c r="S252" s="1">
        <v>6467970</v>
      </c>
      <c r="T252" s="4">
        <f t="shared" si="49"/>
        <v>15348089</v>
      </c>
      <c r="U252" s="1">
        <v>44198567</v>
      </c>
      <c r="V252" s="1">
        <v>2015</v>
      </c>
      <c r="W252" s="8">
        <v>33144637</v>
      </c>
      <c r="X252" s="1">
        <v>0.313</v>
      </c>
      <c r="Y252" s="1">
        <v>0</v>
      </c>
      <c r="Z252" s="1">
        <v>0</v>
      </c>
      <c r="AA252" s="1">
        <v>143280000</v>
      </c>
      <c r="AB252" s="1">
        <v>0.12028525265214964</v>
      </c>
      <c r="AC252" s="1">
        <v>3.1115633724176438E-2</v>
      </c>
      <c r="AD252" s="1">
        <v>9.6354089893914016E-2</v>
      </c>
      <c r="AE252" s="1">
        <v>1.9281553601340033E-2</v>
      </c>
      <c r="AF252" s="2">
        <f t="shared" si="50"/>
        <v>0.11563564349525404</v>
      </c>
      <c r="AG252" s="2">
        <f>AF252+AC252</f>
        <v>0.14675127721943049</v>
      </c>
      <c r="AH252" s="1">
        <v>0.13789718732551648</v>
      </c>
      <c r="AI252" s="2">
        <f t="shared" si="51"/>
        <v>0.26703652987158011</v>
      </c>
      <c r="AJ252" s="1">
        <v>4.6006372138470128E-2</v>
      </c>
      <c r="AK252" s="1">
        <v>8.0087793132328305E-2</v>
      </c>
      <c r="AL252" s="4">
        <f t="shared" si="52"/>
        <v>0.12609416527079842</v>
      </c>
      <c r="AM252" s="1">
        <v>7.5263163037409264E-2</v>
      </c>
      <c r="AN252" s="4">
        <f t="shared" si="53"/>
        <v>0.20135732830820768</v>
      </c>
      <c r="AO252" s="1">
        <v>6.1977379955332215E-2</v>
      </c>
      <c r="AP252" s="1">
        <v>4.5142169179229481E-2</v>
      </c>
      <c r="AQ252" s="4">
        <f t="shared" si="54"/>
        <v>0.1071195491345617</v>
      </c>
      <c r="AR252" s="1">
        <v>0.30847687744276941</v>
      </c>
      <c r="AS252" s="1">
        <v>0.40493371719709659</v>
      </c>
      <c r="AT252" s="1">
        <v>0.286589405360134</v>
      </c>
      <c r="AU252" s="1">
        <f t="shared" si="55"/>
        <v>0.23132772892238973</v>
      </c>
      <c r="AV252" s="1">
        <v>5</v>
      </c>
      <c r="AW252">
        <v>238</v>
      </c>
      <c r="AX252">
        <v>387</v>
      </c>
      <c r="AY252" s="6">
        <v>32</v>
      </c>
      <c r="AZ252" s="6">
        <v>18</v>
      </c>
      <c r="BA252" s="11">
        <f t="shared" si="56"/>
        <v>14.875</v>
      </c>
      <c r="BB252">
        <f t="shared" si="57"/>
        <v>24.1875</v>
      </c>
      <c r="BC252">
        <f t="shared" si="58"/>
        <v>-149</v>
      </c>
      <c r="BD252">
        <f t="shared" si="59"/>
        <v>-9.3125</v>
      </c>
      <c r="BE252" s="10">
        <v>3.7350532025213798</v>
      </c>
      <c r="BF252" s="6">
        <v>25.846150000000002</v>
      </c>
      <c r="BG252" s="6">
        <v>28.501609999999999</v>
      </c>
      <c r="BH252" s="6">
        <v>0.61191399999999996</v>
      </c>
      <c r="BI252" s="6">
        <v>0.538462</v>
      </c>
      <c r="BJ252" s="6"/>
      <c r="BK252" s="6" t="s">
        <v>67</v>
      </c>
      <c r="BL252" s="6" t="s">
        <v>68</v>
      </c>
      <c r="BM252" s="6" t="s">
        <v>69</v>
      </c>
      <c r="BN252" s="6" t="s">
        <v>70</v>
      </c>
    </row>
    <row r="253" spans="1:66">
      <c r="A253" s="1" t="s">
        <v>363</v>
      </c>
      <c r="B253" s="1">
        <v>2015</v>
      </c>
      <c r="C253" s="1" t="s">
        <v>136</v>
      </c>
      <c r="D253" s="1">
        <v>8554868</v>
      </c>
      <c r="E253" s="1">
        <v>10635847</v>
      </c>
      <c r="F253" s="1">
        <v>9888081</v>
      </c>
      <c r="G253" s="1">
        <v>10063162</v>
      </c>
      <c r="H253" s="2">
        <f t="shared" si="45"/>
        <v>19951243</v>
      </c>
      <c r="I253" s="2">
        <f>H253+E253</f>
        <v>30587090</v>
      </c>
      <c r="J253" s="1">
        <v>12810650</v>
      </c>
      <c r="K253" s="2">
        <f t="shared" si="46"/>
        <v>39141958</v>
      </c>
      <c r="L253" s="1">
        <v>51952608</v>
      </c>
      <c r="M253" s="1">
        <v>9600635</v>
      </c>
      <c r="N253" s="1">
        <v>18100443</v>
      </c>
      <c r="O253" s="4">
        <f t="shared" si="47"/>
        <v>27701078</v>
      </c>
      <c r="P253" s="1">
        <v>12650324</v>
      </c>
      <c r="Q253" s="4">
        <f t="shared" si="48"/>
        <v>40351402</v>
      </c>
      <c r="R253" s="1">
        <v>13893024</v>
      </c>
      <c r="S253" s="1">
        <v>15557555</v>
      </c>
      <c r="T253" s="4">
        <f t="shared" si="49"/>
        <v>29450579</v>
      </c>
      <c r="U253" s="1">
        <v>69801981</v>
      </c>
      <c r="V253" s="1">
        <v>2015</v>
      </c>
      <c r="W253" s="8">
        <v>12551881</v>
      </c>
      <c r="X253" s="1">
        <v>0.625</v>
      </c>
      <c r="Y253" s="1">
        <v>1</v>
      </c>
      <c r="Z253" s="1">
        <v>0</v>
      </c>
      <c r="AA253" s="1">
        <v>143280000</v>
      </c>
      <c r="AB253" s="1">
        <v>5.9707342266890007E-2</v>
      </c>
      <c r="AC253" s="1">
        <v>7.4231204634282524E-2</v>
      </c>
      <c r="AD253" s="1">
        <v>6.9012290619765493E-2</v>
      </c>
      <c r="AE253" s="1">
        <v>7.0234240647682855E-2</v>
      </c>
      <c r="AF253" s="2">
        <f t="shared" si="50"/>
        <v>0.13924653126744835</v>
      </c>
      <c r="AG253" s="2">
        <f>AF253+AC253</f>
        <v>0.21347773590173086</v>
      </c>
      <c r="AH253" s="1">
        <v>8.9409896705750974E-2</v>
      </c>
      <c r="AI253" s="2">
        <f t="shared" si="51"/>
        <v>0.27318507816862087</v>
      </c>
      <c r="AJ253" s="1">
        <v>6.700610692350642E-2</v>
      </c>
      <c r="AK253" s="1">
        <v>0.12632916666666666</v>
      </c>
      <c r="AL253" s="4">
        <f t="shared" si="52"/>
        <v>0.19333527359017308</v>
      </c>
      <c r="AM253" s="1">
        <v>8.8290926856504748E-2</v>
      </c>
      <c r="AN253" s="4">
        <f t="shared" si="53"/>
        <v>0.28162620044667785</v>
      </c>
      <c r="AO253" s="1">
        <v>9.696415410385259E-2</v>
      </c>
      <c r="AP253" s="1">
        <v>0.10858148380792854</v>
      </c>
      <c r="AQ253" s="4">
        <f t="shared" si="54"/>
        <v>0.20554563791178113</v>
      </c>
      <c r="AR253" s="1">
        <v>0.48717183835845895</v>
      </c>
      <c r="AS253" s="1">
        <v>0.36259497487437187</v>
      </c>
      <c r="AT253" s="1">
        <v>0.15023318676716912</v>
      </c>
      <c r="AU253" s="1">
        <f t="shared" si="55"/>
        <v>8.7603859575656057E-2</v>
      </c>
      <c r="AV253" s="1">
        <v>10</v>
      </c>
      <c r="AW253">
        <v>423</v>
      </c>
      <c r="AX253">
        <v>277</v>
      </c>
      <c r="AY253" s="6">
        <v>4</v>
      </c>
      <c r="AZ253" s="6">
        <v>1</v>
      </c>
      <c r="BA253" s="11">
        <f t="shared" si="56"/>
        <v>26.4375</v>
      </c>
      <c r="BB253">
        <f t="shared" si="57"/>
        <v>17.3125</v>
      </c>
      <c r="BC253">
        <f t="shared" si="58"/>
        <v>146</v>
      </c>
      <c r="BD253">
        <f t="shared" si="59"/>
        <v>9.125</v>
      </c>
      <c r="BE253" s="10">
        <v>12.3028169961814</v>
      </c>
      <c r="BF253" s="6">
        <v>26.190480000000001</v>
      </c>
      <c r="BG253" s="6">
        <v>27.53021</v>
      </c>
      <c r="BH253" s="6">
        <v>0.62252200000000002</v>
      </c>
      <c r="BI253" s="6">
        <v>0.63492099999999996</v>
      </c>
      <c r="BJ253" s="6"/>
      <c r="BK253" s="6" t="s">
        <v>73</v>
      </c>
      <c r="BL253" s="6" t="s">
        <v>68</v>
      </c>
      <c r="BM253" s="6" t="s">
        <v>99</v>
      </c>
      <c r="BN253" s="6" t="s">
        <v>93</v>
      </c>
    </row>
    <row r="254" spans="1:66">
      <c r="A254" s="1" t="s">
        <v>364</v>
      </c>
      <c r="B254" s="1">
        <v>2015</v>
      </c>
      <c r="C254" s="1" t="s">
        <v>116</v>
      </c>
      <c r="D254" s="1">
        <v>5218449</v>
      </c>
      <c r="E254" s="1">
        <v>4573838</v>
      </c>
      <c r="F254" s="1">
        <v>11865185</v>
      </c>
      <c r="G254" s="1">
        <v>15475441</v>
      </c>
      <c r="H254" s="2">
        <f>SUM(F254:G254)</f>
        <v>27340626</v>
      </c>
      <c r="I254" s="2">
        <f>H254+E254</f>
        <v>31914464</v>
      </c>
      <c r="J254" s="1">
        <v>18702572</v>
      </c>
      <c r="K254" s="2">
        <f>SUM(D254:G254)</f>
        <v>37132913</v>
      </c>
      <c r="L254" s="1">
        <v>55835485</v>
      </c>
      <c r="M254" s="1">
        <v>10316492</v>
      </c>
      <c r="N254" s="1">
        <v>37018755</v>
      </c>
      <c r="O254" s="4">
        <f>SUM(M254:N254)</f>
        <v>47335247</v>
      </c>
      <c r="P254" s="1">
        <v>10685780</v>
      </c>
      <c r="Q254" s="4">
        <f>SUM(O254:P254)</f>
        <v>58021027</v>
      </c>
      <c r="R254" s="1">
        <v>8220899</v>
      </c>
      <c r="S254" s="1">
        <v>4293600</v>
      </c>
      <c r="T254" s="4">
        <f>SUM(R254:S254)</f>
        <v>12514499</v>
      </c>
      <c r="U254" s="1">
        <v>70535526</v>
      </c>
      <c r="V254" s="1">
        <v>2015</v>
      </c>
      <c r="W254" s="8">
        <v>35201011</v>
      </c>
      <c r="X254" s="1">
        <v>0.438</v>
      </c>
      <c r="Y254" s="1">
        <v>0</v>
      </c>
      <c r="Z254" s="1">
        <v>0</v>
      </c>
      <c r="AA254" s="1">
        <v>143280000</v>
      </c>
      <c r="AB254" s="1">
        <v>3.6421335845896151E-2</v>
      </c>
      <c r="AC254" s="1">
        <v>3.1922375767727523E-2</v>
      </c>
      <c r="AD254" s="1">
        <v>8.2811173925181461E-2</v>
      </c>
      <c r="AE254" s="1">
        <v>0.10800838218872139</v>
      </c>
      <c r="AF254" s="2">
        <f>SUM(AD254:AE254)</f>
        <v>0.19081955611390283</v>
      </c>
      <c r="AG254" s="2">
        <f>AF254+AC254</f>
        <v>0.22274193188163036</v>
      </c>
      <c r="AH254" s="1">
        <v>0.13053163037409268</v>
      </c>
      <c r="AI254" s="2">
        <f>SUM(AB254:AE254)</f>
        <v>0.25916326772752651</v>
      </c>
      <c r="AJ254" s="1">
        <v>7.200231714126186E-2</v>
      </c>
      <c r="AK254" s="1">
        <v>0.25836652010050254</v>
      </c>
      <c r="AL254" s="4">
        <f>SUM(AJ254:AK254)</f>
        <v>0.33036883724176441</v>
      </c>
      <c r="AM254" s="1">
        <v>7.4579704075935227E-2</v>
      </c>
      <c r="AN254" s="4">
        <f>SUM(AL254:AM254)</f>
        <v>0.40494854131769964</v>
      </c>
      <c r="AO254" s="1">
        <v>5.7376458682300388E-2</v>
      </c>
      <c r="AP254" s="1">
        <v>2.9966499162479062E-2</v>
      </c>
      <c r="AQ254" s="4">
        <f>SUM(AO254:AP254)</f>
        <v>8.7342957844779454E-2</v>
      </c>
      <c r="AR254" s="1">
        <v>0.49229149916247905</v>
      </c>
      <c r="AS254" s="1">
        <v>0.38969489810161922</v>
      </c>
      <c r="AT254" s="1">
        <v>0.11801360273590178</v>
      </c>
      <c r="AU254" s="1">
        <f t="shared" si="55"/>
        <v>0.2456798646007817</v>
      </c>
      <c r="AV254" s="1">
        <v>7</v>
      </c>
      <c r="AW254">
        <v>280</v>
      </c>
      <c r="AX254">
        <v>330</v>
      </c>
      <c r="AY254" s="6">
        <v>29</v>
      </c>
      <c r="AZ254" s="6">
        <v>13</v>
      </c>
      <c r="BA254" s="11">
        <f t="shared" si="56"/>
        <v>17.5</v>
      </c>
      <c r="BB254">
        <f t="shared" si="57"/>
        <v>20.625</v>
      </c>
      <c r="BC254">
        <f t="shared" si="58"/>
        <v>-50</v>
      </c>
      <c r="BD254">
        <f t="shared" si="59"/>
        <v>-3.125</v>
      </c>
      <c r="BE254" s="10">
        <v>6.6103366451394701</v>
      </c>
      <c r="BF254" s="6">
        <v>25.2</v>
      </c>
      <c r="BG254" s="6">
        <v>26.324159999999999</v>
      </c>
      <c r="BH254" s="6">
        <v>0.62449900000000003</v>
      </c>
      <c r="BI254" s="6">
        <v>0.56923100000000004</v>
      </c>
      <c r="BJ254" s="6"/>
      <c r="BK254" s="6" t="s">
        <v>73</v>
      </c>
      <c r="BL254" s="6" t="s">
        <v>68</v>
      </c>
      <c r="BM254" s="6" t="s">
        <v>99</v>
      </c>
      <c r="BN254" s="6" t="s">
        <v>93</v>
      </c>
    </row>
    <row r="255" spans="1:66">
      <c r="A255" s="1" t="s">
        <v>365</v>
      </c>
      <c r="B255" s="1">
        <v>2015</v>
      </c>
      <c r="C255" s="1" t="s">
        <v>138</v>
      </c>
      <c r="D255" s="1">
        <v>5965886</v>
      </c>
      <c r="E255" s="1">
        <v>5081515</v>
      </c>
      <c r="F255" s="1">
        <v>18129732</v>
      </c>
      <c r="G255" s="1">
        <v>4336557</v>
      </c>
      <c r="H255" s="2">
        <f t="shared" si="45"/>
        <v>22466289</v>
      </c>
      <c r="I255" s="2">
        <f>H255+E255</f>
        <v>27547804</v>
      </c>
      <c r="J255" s="1">
        <v>20141348</v>
      </c>
      <c r="K255" s="2">
        <f t="shared" si="46"/>
        <v>33513690</v>
      </c>
      <c r="L255" s="1">
        <v>53655038</v>
      </c>
      <c r="M255" s="1">
        <v>23969929</v>
      </c>
      <c r="N255" s="1">
        <v>5445509</v>
      </c>
      <c r="O255" s="4">
        <f t="shared" si="47"/>
        <v>29415438</v>
      </c>
      <c r="P255" s="1">
        <v>12188387</v>
      </c>
      <c r="Q255" s="4">
        <f t="shared" si="48"/>
        <v>41603825</v>
      </c>
      <c r="R255" s="1">
        <v>4087338</v>
      </c>
      <c r="S255" s="1">
        <v>8260432</v>
      </c>
      <c r="T255" s="4">
        <f t="shared" si="49"/>
        <v>12347770</v>
      </c>
      <c r="U255" s="1">
        <v>53951595</v>
      </c>
      <c r="V255" s="1">
        <v>2015</v>
      </c>
      <c r="W255" s="8">
        <v>21628583</v>
      </c>
      <c r="X255" s="1">
        <v>0.375</v>
      </c>
      <c r="Y255" s="1">
        <v>0</v>
      </c>
      <c r="Z255" s="1">
        <v>0</v>
      </c>
      <c r="AA255" s="1">
        <v>143280000</v>
      </c>
      <c r="AB255" s="1">
        <v>4.1637953657174764E-2</v>
      </c>
      <c r="AC255" s="1">
        <v>3.5465626744835291E-2</v>
      </c>
      <c r="AD255" s="1">
        <v>0.12653358458961475</v>
      </c>
      <c r="AE255" s="1">
        <v>3.0266310720268006E-2</v>
      </c>
      <c r="AF255" s="2">
        <f t="shared" si="50"/>
        <v>0.15679989530988275</v>
      </c>
      <c r="AG255" s="2">
        <f>AF255+AC255</f>
        <v>0.19226552205471803</v>
      </c>
      <c r="AH255" s="1">
        <v>0.14057333891680626</v>
      </c>
      <c r="AI255" s="2">
        <f t="shared" si="51"/>
        <v>0.23390347571189282</v>
      </c>
      <c r="AJ255" s="1">
        <v>0.16729431183696258</v>
      </c>
      <c r="AK255" s="1">
        <v>3.8006065047459521E-2</v>
      </c>
      <c r="AL255" s="4">
        <f t="shared" si="52"/>
        <v>0.2053003768844221</v>
      </c>
      <c r="AM255" s="1">
        <v>8.5066910943606924E-2</v>
      </c>
      <c r="AN255" s="4">
        <f t="shared" si="53"/>
        <v>0.29036728782802901</v>
      </c>
      <c r="AO255" s="1">
        <v>2.8526926298157455E-2</v>
      </c>
      <c r="AP255" s="1">
        <v>5.7652372975991066E-2</v>
      </c>
      <c r="AQ255" s="4">
        <f t="shared" si="54"/>
        <v>8.6179299274148524E-2</v>
      </c>
      <c r="AR255" s="1">
        <v>0.37654658710217753</v>
      </c>
      <c r="AS255" s="1">
        <v>0.37447681462869903</v>
      </c>
      <c r="AT255" s="1">
        <v>0.24897659826912344</v>
      </c>
      <c r="AU255" s="1">
        <f t="shared" si="55"/>
        <v>0.15095325935231715</v>
      </c>
      <c r="AV255" s="1">
        <v>6</v>
      </c>
      <c r="AW255">
        <v>342</v>
      </c>
      <c r="AX255">
        <v>417</v>
      </c>
      <c r="AY255" s="6">
        <v>20</v>
      </c>
      <c r="AZ255" s="6">
        <v>26</v>
      </c>
      <c r="BA255" s="11">
        <f t="shared" si="56"/>
        <v>21.375</v>
      </c>
      <c r="BB255">
        <f t="shared" si="57"/>
        <v>26.0625</v>
      </c>
      <c r="BC255">
        <f t="shared" si="58"/>
        <v>-75</v>
      </c>
      <c r="BD255">
        <f t="shared" si="59"/>
        <v>-4.6875</v>
      </c>
      <c r="BE255" s="10">
        <v>5.8842549677106604</v>
      </c>
      <c r="BF255" s="6">
        <v>25.88889</v>
      </c>
      <c r="BG255" s="6">
        <v>27.494039999999998</v>
      </c>
      <c r="BH255" s="6">
        <v>0.61219000000000001</v>
      </c>
      <c r="BI255" s="6">
        <v>0.55555600000000005</v>
      </c>
      <c r="BJ255" s="6"/>
      <c r="BK255" s="6" t="s">
        <v>73</v>
      </c>
      <c r="BL255" s="6" t="s">
        <v>68</v>
      </c>
      <c r="BM255" s="6" t="s">
        <v>99</v>
      </c>
      <c r="BN255" s="6" t="s">
        <v>93</v>
      </c>
    </row>
    <row r="256" spans="1:66">
      <c r="A256" s="1" t="s">
        <v>366</v>
      </c>
      <c r="B256" s="1">
        <v>2015</v>
      </c>
      <c r="C256" s="1" t="s">
        <v>140</v>
      </c>
      <c r="D256" s="1">
        <v>5017020</v>
      </c>
      <c r="E256" s="1">
        <v>5286810</v>
      </c>
      <c r="F256" s="1">
        <v>8113034</v>
      </c>
      <c r="G256" s="1">
        <v>10447500</v>
      </c>
      <c r="H256" s="2">
        <f t="shared" si="45"/>
        <v>18560534</v>
      </c>
      <c r="I256" s="2">
        <f>H256+E256</f>
        <v>23847344</v>
      </c>
      <c r="J256" s="1">
        <v>11157861</v>
      </c>
      <c r="K256" s="2">
        <f t="shared" si="46"/>
        <v>28864364</v>
      </c>
      <c r="L256" s="1">
        <v>40022225</v>
      </c>
      <c r="M256" s="1">
        <v>21122812</v>
      </c>
      <c r="N256" s="1">
        <v>10312803</v>
      </c>
      <c r="O256" s="4">
        <f t="shared" si="47"/>
        <v>31435615</v>
      </c>
      <c r="P256" s="1">
        <v>6083453</v>
      </c>
      <c r="Q256" s="4">
        <f t="shared" si="48"/>
        <v>37519068</v>
      </c>
      <c r="R256" s="1">
        <v>12937775</v>
      </c>
      <c r="S256" s="1">
        <v>15939246</v>
      </c>
      <c r="T256" s="4">
        <f t="shared" si="49"/>
        <v>28877021</v>
      </c>
      <c r="U256" s="1">
        <v>66396089</v>
      </c>
      <c r="V256" s="1">
        <v>2015</v>
      </c>
      <c r="W256" s="8">
        <v>20323893</v>
      </c>
      <c r="X256" s="1">
        <v>0.188</v>
      </c>
      <c r="Y256" s="1">
        <v>0</v>
      </c>
      <c r="Z256" s="1">
        <v>0</v>
      </c>
      <c r="AA256" s="1">
        <v>143280000</v>
      </c>
      <c r="AB256" s="1">
        <v>3.5015494137353435E-2</v>
      </c>
      <c r="AC256" s="1">
        <v>3.6898450586264654E-2</v>
      </c>
      <c r="AD256" s="1">
        <v>5.6623632049134565E-2</v>
      </c>
      <c r="AE256" s="1">
        <v>7.2916666666666671E-2</v>
      </c>
      <c r="AF256" s="2">
        <f t="shared" si="50"/>
        <v>0.12954029871580125</v>
      </c>
      <c r="AG256" s="2">
        <f>AF256+AC256</f>
        <v>0.1664387493020659</v>
      </c>
      <c r="AH256" s="1">
        <v>7.7874518425460643E-2</v>
      </c>
      <c r="AI256" s="2">
        <f t="shared" si="51"/>
        <v>0.20145424343941931</v>
      </c>
      <c r="AJ256" s="1">
        <v>0.14742331099944164</v>
      </c>
      <c r="AK256" s="1">
        <v>7.1976570351758792E-2</v>
      </c>
      <c r="AL256" s="4">
        <f t="shared" si="52"/>
        <v>0.21939988135120042</v>
      </c>
      <c r="AM256" s="1">
        <v>4.2458493858179791E-2</v>
      </c>
      <c r="AN256" s="4">
        <f t="shared" si="53"/>
        <v>0.26185837520938021</v>
      </c>
      <c r="AO256" s="1">
        <v>9.0297145449469568E-2</v>
      </c>
      <c r="AP256" s="1">
        <v>0.11124543551088777</v>
      </c>
      <c r="AQ256" s="4">
        <f t="shared" si="54"/>
        <v>0.20154258096035732</v>
      </c>
      <c r="AR256" s="1">
        <v>0.46340095616973759</v>
      </c>
      <c r="AS256" s="1">
        <v>0.27932876186487998</v>
      </c>
      <c r="AT256" s="1">
        <v>0.25727028196538249</v>
      </c>
      <c r="AU256" s="1">
        <f t="shared" si="55"/>
        <v>0.14184738274706868</v>
      </c>
      <c r="AV256" s="1">
        <v>3</v>
      </c>
      <c r="AW256">
        <v>299</v>
      </c>
      <c r="AX256">
        <v>423</v>
      </c>
      <c r="AY256" s="6">
        <v>28</v>
      </c>
      <c r="AZ256" s="6">
        <v>27</v>
      </c>
      <c r="BA256" s="11">
        <f t="shared" si="56"/>
        <v>18.6875</v>
      </c>
      <c r="BB256">
        <f t="shared" si="57"/>
        <v>26.4375</v>
      </c>
      <c r="BC256">
        <f t="shared" si="58"/>
        <v>-124</v>
      </c>
      <c r="BD256">
        <f t="shared" si="59"/>
        <v>-7.75</v>
      </c>
      <c r="BE256" s="10">
        <v>4.4611348799501904</v>
      </c>
      <c r="BF256" s="6">
        <v>25.703130000000002</v>
      </c>
      <c r="BG256" s="6">
        <v>27.273849999999999</v>
      </c>
      <c r="BH256" s="6">
        <v>0.54236799999999996</v>
      </c>
      <c r="BI256" s="6">
        <v>0.53125</v>
      </c>
      <c r="BJ256" s="6"/>
      <c r="BK256" s="6" t="s">
        <v>73</v>
      </c>
      <c r="BL256" s="6" t="s">
        <v>74</v>
      </c>
      <c r="BM256" s="6" t="s">
        <v>75</v>
      </c>
      <c r="BN256" s="6" t="s">
        <v>75</v>
      </c>
    </row>
    <row r="257" spans="1:80">
      <c r="A257" s="1" t="s">
        <v>367</v>
      </c>
      <c r="B257" s="1">
        <v>2015</v>
      </c>
      <c r="C257" s="1" t="s">
        <v>142</v>
      </c>
      <c r="D257" s="1">
        <v>8997885</v>
      </c>
      <c r="E257" s="1">
        <v>3242342</v>
      </c>
      <c r="F257" s="1">
        <v>24335809</v>
      </c>
      <c r="G257" s="1">
        <v>5451490</v>
      </c>
      <c r="H257" s="2">
        <f t="shared" si="45"/>
        <v>29787299</v>
      </c>
      <c r="I257" s="2">
        <f>H257+E257</f>
        <v>33029641</v>
      </c>
      <c r="J257" s="1">
        <v>27764389</v>
      </c>
      <c r="K257" s="2">
        <f t="shared" si="46"/>
        <v>42027526</v>
      </c>
      <c r="L257" s="1">
        <v>69791915</v>
      </c>
      <c r="M257" s="1">
        <v>20732031</v>
      </c>
      <c r="N257" s="1">
        <v>9316339</v>
      </c>
      <c r="O257" s="4">
        <f t="shared" si="47"/>
        <v>30048370</v>
      </c>
      <c r="P257" s="1">
        <v>7356014</v>
      </c>
      <c r="Q257" s="4">
        <f t="shared" si="48"/>
        <v>37404384</v>
      </c>
      <c r="R257" s="1">
        <v>6696517</v>
      </c>
      <c r="S257" s="1">
        <v>10756352</v>
      </c>
      <c r="T257" s="4">
        <f t="shared" si="49"/>
        <v>17452869</v>
      </c>
      <c r="U257" s="1">
        <v>54857253</v>
      </c>
      <c r="V257" s="1">
        <v>2015</v>
      </c>
      <c r="W257" s="8">
        <v>28912273</v>
      </c>
      <c r="X257" s="1">
        <v>0.56299999999999994</v>
      </c>
      <c r="Y257" s="1">
        <v>1</v>
      </c>
      <c r="Z257" s="1">
        <v>0</v>
      </c>
      <c r="AA257" s="1">
        <v>143280000</v>
      </c>
      <c r="AB257" s="1">
        <v>6.2799309045226126E-2</v>
      </c>
      <c r="AC257" s="1">
        <v>2.2629410943606924E-2</v>
      </c>
      <c r="AD257" s="1">
        <v>0.1698479131769961</v>
      </c>
      <c r="AE257" s="1">
        <v>3.8047808486878838E-2</v>
      </c>
      <c r="AF257" s="2">
        <f t="shared" si="50"/>
        <v>0.20789572166387493</v>
      </c>
      <c r="AG257" s="2">
        <f>AF257+AC257</f>
        <v>0.23052513260748186</v>
      </c>
      <c r="AH257" s="1">
        <v>0.1937771426577331</v>
      </c>
      <c r="AI257" s="2">
        <f t="shared" si="51"/>
        <v>0.29332444165270799</v>
      </c>
      <c r="AJ257" s="1">
        <v>0.14469591708542714</v>
      </c>
      <c r="AK257" s="1">
        <v>6.5021908151870464E-2</v>
      </c>
      <c r="AL257" s="4">
        <f t="shared" si="52"/>
        <v>0.20971782523729759</v>
      </c>
      <c r="AM257" s="1">
        <v>5.1340131211613627E-2</v>
      </c>
      <c r="AN257" s="4">
        <f t="shared" si="53"/>
        <v>0.26105795644891122</v>
      </c>
      <c r="AO257" s="1">
        <v>4.6737276661083196E-2</v>
      </c>
      <c r="AP257" s="1">
        <v>7.5072250139586821E-2</v>
      </c>
      <c r="AQ257" s="4">
        <f t="shared" si="54"/>
        <v>0.12180952680067002</v>
      </c>
      <c r="AR257" s="1">
        <v>0.38286748324958125</v>
      </c>
      <c r="AS257" s="1">
        <v>0.48710158431044109</v>
      </c>
      <c r="AT257" s="1">
        <v>0.13003093243997765</v>
      </c>
      <c r="AU257" s="1">
        <f t="shared" si="55"/>
        <v>0.20178861669458403</v>
      </c>
      <c r="AV257" s="1">
        <v>9</v>
      </c>
      <c r="AW257">
        <v>388</v>
      </c>
      <c r="AX257">
        <v>379</v>
      </c>
      <c r="AY257" s="6">
        <v>10</v>
      </c>
      <c r="AZ257" s="6">
        <v>17</v>
      </c>
      <c r="BA257" s="11">
        <f t="shared" si="56"/>
        <v>24.25</v>
      </c>
      <c r="BB257">
        <f t="shared" si="57"/>
        <v>23.6875</v>
      </c>
      <c r="BC257">
        <f t="shared" si="58"/>
        <v>9</v>
      </c>
      <c r="BD257">
        <f t="shared" si="59"/>
        <v>0.5625</v>
      </c>
      <c r="BE257" s="10">
        <v>8.3238894038714708</v>
      </c>
      <c r="BF257" s="6">
        <v>26.514710000000001</v>
      </c>
      <c r="BG257" s="6">
        <v>27.728020000000001</v>
      </c>
      <c r="BH257" s="6">
        <v>0.58921699999999999</v>
      </c>
      <c r="BI257" s="6">
        <v>0.54411799999999999</v>
      </c>
      <c r="BJ257" s="6"/>
      <c r="BK257" s="6" t="s">
        <v>80</v>
      </c>
      <c r="BL257" s="6" t="s">
        <v>74</v>
      </c>
      <c r="BM257" s="6" t="s">
        <v>81</v>
      </c>
      <c r="BN257" s="6" t="s">
        <v>75</v>
      </c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</row>
    <row r="258" spans="1:80">
      <c r="A258" s="1" t="s">
        <v>368</v>
      </c>
      <c r="B258" s="1">
        <v>2014</v>
      </c>
      <c r="C258" s="1" t="s">
        <v>66</v>
      </c>
      <c r="D258" s="1">
        <v>16676701</v>
      </c>
      <c r="E258" s="1">
        <v>2653397</v>
      </c>
      <c r="F258" s="1">
        <v>14667325</v>
      </c>
      <c r="G258" s="1">
        <v>4410632</v>
      </c>
      <c r="H258" s="2">
        <f t="shared" si="45"/>
        <v>19077957</v>
      </c>
      <c r="I258" s="2">
        <f>H258+E258</f>
        <v>21731354</v>
      </c>
      <c r="J258" s="1">
        <v>13774076</v>
      </c>
      <c r="K258" s="2">
        <f t="shared" si="46"/>
        <v>38408055</v>
      </c>
      <c r="L258" s="1">
        <v>52182131</v>
      </c>
      <c r="M258" s="1">
        <v>25825251</v>
      </c>
      <c r="N258" s="1">
        <v>9394096</v>
      </c>
      <c r="O258" s="4">
        <f t="shared" si="47"/>
        <v>35219347</v>
      </c>
      <c r="P258" s="1">
        <v>6943566</v>
      </c>
      <c r="Q258" s="4">
        <f t="shared" si="48"/>
        <v>42162913</v>
      </c>
      <c r="R258" s="1">
        <v>3473804</v>
      </c>
      <c r="S258" s="1">
        <v>16867423</v>
      </c>
      <c r="T258" s="4">
        <f t="shared" si="49"/>
        <v>20341227</v>
      </c>
      <c r="U258" s="1">
        <v>62504140</v>
      </c>
      <c r="V258" s="1">
        <v>2014</v>
      </c>
      <c r="W258" s="8">
        <v>23877660</v>
      </c>
      <c r="X258" s="1">
        <v>0.68799999999999994</v>
      </c>
      <c r="Y258" s="1">
        <v>1</v>
      </c>
      <c r="Z258" s="1">
        <v>0</v>
      </c>
      <c r="AA258" s="1">
        <v>133000000</v>
      </c>
      <c r="AB258" s="1">
        <v>0.12538872932330827</v>
      </c>
      <c r="AC258" s="1">
        <v>1.9950353383458647E-2</v>
      </c>
      <c r="AD258" s="1">
        <v>0.11028063909774435</v>
      </c>
      <c r="AE258" s="1">
        <v>3.3162646616541357E-2</v>
      </c>
      <c r="AF258" s="2">
        <f t="shared" si="50"/>
        <v>0.14344328571428572</v>
      </c>
      <c r="AG258" s="2">
        <f>AF258+AC258</f>
        <v>0.16339363909774438</v>
      </c>
      <c r="AH258" s="1">
        <v>0.10356448120300751</v>
      </c>
      <c r="AI258" s="2">
        <f t="shared" si="51"/>
        <v>0.28878236842105265</v>
      </c>
      <c r="AJ258" s="1">
        <v>0.19417481954887217</v>
      </c>
      <c r="AK258" s="1">
        <v>7.0632300751879692E-2</v>
      </c>
      <c r="AL258" s="4">
        <f t="shared" si="52"/>
        <v>0.26480712030075187</v>
      </c>
      <c r="AM258" s="1">
        <v>5.2207263157894736E-2</v>
      </c>
      <c r="AN258" s="4">
        <f t="shared" si="53"/>
        <v>0.31701438345864663</v>
      </c>
      <c r="AO258" s="1">
        <v>2.6118827067669173E-2</v>
      </c>
      <c r="AP258" s="1">
        <v>0.12682272932330826</v>
      </c>
      <c r="AQ258" s="4">
        <f t="shared" si="54"/>
        <v>0.15294155639097745</v>
      </c>
      <c r="AR258" s="1">
        <v>0.46995593984962408</v>
      </c>
      <c r="AS258" s="1">
        <v>0.39234684962406013</v>
      </c>
      <c r="AT258" s="1">
        <v>0.13769721052631578</v>
      </c>
      <c r="AU258" s="1">
        <f t="shared" si="55"/>
        <v>0.17953127819548872</v>
      </c>
      <c r="AV258" s="1">
        <v>11</v>
      </c>
      <c r="AW258">
        <v>310</v>
      </c>
      <c r="AX258">
        <v>299</v>
      </c>
      <c r="AY258" s="6">
        <v>24</v>
      </c>
      <c r="AZ258" s="6">
        <v>5</v>
      </c>
      <c r="BA258" s="11">
        <f t="shared" si="56"/>
        <v>19.375</v>
      </c>
      <c r="BB258">
        <f t="shared" si="57"/>
        <v>18.6875</v>
      </c>
      <c r="BC258">
        <f t="shared" si="58"/>
        <v>11</v>
      </c>
      <c r="BD258">
        <f t="shared" si="59"/>
        <v>0.6875</v>
      </c>
      <c r="BE258" s="10">
        <v>8.3819759380657697</v>
      </c>
      <c r="BF258" s="6">
        <v>26.75806</v>
      </c>
      <c r="BG258" s="6">
        <v>29.052600000000002</v>
      </c>
      <c r="BH258" s="6">
        <v>0.59668299999999996</v>
      </c>
      <c r="BI258" s="6">
        <v>0.58064499999999997</v>
      </c>
      <c r="BJ258" s="6"/>
      <c r="BK258" s="6" t="s">
        <v>67</v>
      </c>
      <c r="BL258" s="6" t="s">
        <v>68</v>
      </c>
      <c r="BM258" s="6" t="s">
        <v>69</v>
      </c>
      <c r="BN258" s="6" t="s">
        <v>70</v>
      </c>
    </row>
    <row r="259" spans="1:80">
      <c r="A259" s="1" t="s">
        <v>369</v>
      </c>
      <c r="B259" s="1">
        <v>2014</v>
      </c>
      <c r="C259" s="1" t="s">
        <v>72</v>
      </c>
      <c r="D259" s="1">
        <v>18576474</v>
      </c>
      <c r="E259" s="1">
        <v>6980028</v>
      </c>
      <c r="F259" s="1">
        <v>17966288</v>
      </c>
      <c r="G259" s="1">
        <v>1247246</v>
      </c>
      <c r="H259" s="2">
        <f t="shared" ref="H259:H291" si="60">SUM(F259:G259)</f>
        <v>19213534</v>
      </c>
      <c r="I259" s="2">
        <f>H259+E259</f>
        <v>26193562</v>
      </c>
      <c r="J259" s="1">
        <v>26480666</v>
      </c>
      <c r="K259" s="2">
        <f t="shared" ref="K259:K291" si="61">SUM(D259:G259)</f>
        <v>44770036</v>
      </c>
      <c r="L259" s="1">
        <v>71250702</v>
      </c>
      <c r="M259" s="1">
        <v>14382019</v>
      </c>
      <c r="N259" s="1">
        <v>9969271</v>
      </c>
      <c r="O259" s="4">
        <f t="shared" ref="O259:O291" si="62">SUM(M259:N259)</f>
        <v>24351290</v>
      </c>
      <c r="P259" s="1">
        <v>7666852</v>
      </c>
      <c r="Q259" s="4">
        <f t="shared" ref="Q259:Q291" si="63">SUM(O259:P259)</f>
        <v>32018142</v>
      </c>
      <c r="R259" s="1">
        <v>7645545</v>
      </c>
      <c r="S259" s="1">
        <v>5342576</v>
      </c>
      <c r="T259" s="4">
        <f t="shared" ref="T259:T291" si="64">SUM(R259:S259)</f>
        <v>12988121</v>
      </c>
      <c r="U259" s="1">
        <v>45006263</v>
      </c>
      <c r="V259" s="1">
        <v>2014</v>
      </c>
      <c r="W259" s="8">
        <v>17767998</v>
      </c>
      <c r="X259" s="1">
        <v>0.375</v>
      </c>
      <c r="Y259" s="1">
        <v>0</v>
      </c>
      <c r="Z259" s="1">
        <v>0</v>
      </c>
      <c r="AA259" s="1">
        <v>133000000</v>
      </c>
      <c r="AB259" s="1">
        <v>0.13967273684210527</v>
      </c>
      <c r="AC259" s="1">
        <v>5.2481413533834585E-2</v>
      </c>
      <c r="AD259" s="1">
        <v>0.13508487218045112</v>
      </c>
      <c r="AE259" s="1">
        <v>9.3777894736842109E-3</v>
      </c>
      <c r="AF259" s="2">
        <f t="shared" ref="AF259:AF291" si="65">SUM(AD259:AE259)</f>
        <v>0.14446266165413532</v>
      </c>
      <c r="AG259" s="2">
        <f>AF259+AC259</f>
        <v>0.19694407518796991</v>
      </c>
      <c r="AH259" s="1">
        <v>0.19910275187969925</v>
      </c>
      <c r="AI259" s="2">
        <f t="shared" ref="AI259:AI291" si="66">SUM(AB259:AE259)</f>
        <v>0.33661681203007521</v>
      </c>
      <c r="AJ259" s="1">
        <v>0.10813548120300752</v>
      </c>
      <c r="AK259" s="1">
        <v>7.4956924812030076E-2</v>
      </c>
      <c r="AL259" s="4">
        <f t="shared" ref="AL259:AL291" si="67">SUM(AJ259:AK259)</f>
        <v>0.1830924060150376</v>
      </c>
      <c r="AM259" s="1">
        <v>5.7645503759398496E-2</v>
      </c>
      <c r="AN259" s="4">
        <f t="shared" ref="AN259:AN291" si="68">SUM(AL259:AM259)</f>
        <v>0.2407379097744361</v>
      </c>
      <c r="AO259" s="1">
        <v>5.74853007518797E-2</v>
      </c>
      <c r="AP259" s="1">
        <v>4.0169744360902253E-2</v>
      </c>
      <c r="AQ259" s="4">
        <f t="shared" ref="AQ259:AQ291" si="69">SUM(AO259:AP259)</f>
        <v>9.7655045112781946E-2</v>
      </c>
      <c r="AR259" s="1">
        <v>0.33839295488721804</v>
      </c>
      <c r="AS259" s="1">
        <v>0.53571956390977449</v>
      </c>
      <c r="AT259" s="1">
        <v>0.12588748120300752</v>
      </c>
      <c r="AU259" s="1">
        <f t="shared" ref="AU259:AU321" si="70">W259/AA259</f>
        <v>0.13359396992481204</v>
      </c>
      <c r="AV259" s="1">
        <v>6</v>
      </c>
      <c r="AW259">
        <v>381</v>
      </c>
      <c r="AX259">
        <v>417</v>
      </c>
      <c r="AY259" s="6">
        <v>12</v>
      </c>
      <c r="AZ259" s="6">
        <v>27</v>
      </c>
      <c r="BA259" s="11">
        <f t="shared" ref="BA259:BA321" si="71">AW259/16</f>
        <v>23.8125</v>
      </c>
      <c r="BB259">
        <f t="shared" ref="BB259:BB321" si="72">AX259/16</f>
        <v>26.0625</v>
      </c>
      <c r="BC259">
        <f t="shared" ref="BC259:BC321" si="73">AW259 - AX259</f>
        <v>-36</v>
      </c>
      <c r="BD259">
        <f t="shared" ref="BD259:BD321" si="74">BC259/16</f>
        <v>-2.25</v>
      </c>
      <c r="BE259" s="10">
        <v>7.0169423844996102</v>
      </c>
      <c r="BF259" s="6">
        <v>26.603169999999999</v>
      </c>
      <c r="BG259" s="6">
        <v>28.6557</v>
      </c>
      <c r="BH259" s="6">
        <v>0.57779700000000001</v>
      </c>
      <c r="BI259" s="6">
        <v>0.61904800000000004</v>
      </c>
      <c r="BJ259" s="6"/>
      <c r="BK259" s="6" t="s">
        <v>67</v>
      </c>
      <c r="BL259" s="6" t="s">
        <v>74</v>
      </c>
      <c r="BM259" s="6" t="s">
        <v>102</v>
      </c>
      <c r="BN259" s="6" t="s">
        <v>70</v>
      </c>
    </row>
    <row r="260" spans="1:80">
      <c r="A260" s="1" t="s">
        <v>370</v>
      </c>
      <c r="B260" s="1">
        <v>2014</v>
      </c>
      <c r="C260" s="1" t="s">
        <v>77</v>
      </c>
      <c r="D260" s="1">
        <v>15578427</v>
      </c>
      <c r="E260" s="1">
        <v>1891185</v>
      </c>
      <c r="F260" s="1">
        <v>6901832</v>
      </c>
      <c r="G260" s="1">
        <v>4991340</v>
      </c>
      <c r="H260" s="2">
        <f t="shared" si="60"/>
        <v>11893172</v>
      </c>
      <c r="I260" s="2">
        <f>H260+E260</f>
        <v>13784357</v>
      </c>
      <c r="J260" s="1">
        <v>17657641</v>
      </c>
      <c r="K260" s="2">
        <f t="shared" si="61"/>
        <v>29362784</v>
      </c>
      <c r="L260" s="1">
        <v>47020425</v>
      </c>
      <c r="M260" s="1">
        <v>21184683</v>
      </c>
      <c r="N260" s="1">
        <v>14137592</v>
      </c>
      <c r="O260" s="4">
        <f t="shared" si="62"/>
        <v>35322275</v>
      </c>
      <c r="P260" s="1">
        <v>5493818</v>
      </c>
      <c r="Q260" s="4">
        <f t="shared" si="63"/>
        <v>40816093</v>
      </c>
      <c r="R260" s="1">
        <v>5389608</v>
      </c>
      <c r="S260" s="1">
        <v>11857910</v>
      </c>
      <c r="T260" s="4">
        <f t="shared" si="64"/>
        <v>17247518</v>
      </c>
      <c r="U260" s="1">
        <v>58063611</v>
      </c>
      <c r="V260" s="1">
        <v>2014</v>
      </c>
      <c r="W260" s="8">
        <v>13372825</v>
      </c>
      <c r="X260" s="1">
        <v>0.625</v>
      </c>
      <c r="Y260" s="1">
        <v>1</v>
      </c>
      <c r="Z260" s="1">
        <v>0</v>
      </c>
      <c r="AA260" s="1">
        <v>133000000</v>
      </c>
      <c r="AB260" s="1">
        <v>0.11713103007518796</v>
      </c>
      <c r="AC260" s="1">
        <v>1.4219436090225563E-2</v>
      </c>
      <c r="AD260" s="1">
        <v>5.1893473684210524E-2</v>
      </c>
      <c r="AE260" s="1">
        <v>3.7528872180451131E-2</v>
      </c>
      <c r="AF260" s="2">
        <f t="shared" si="65"/>
        <v>8.9422345864661662E-2</v>
      </c>
      <c r="AG260" s="2">
        <f>AF260+AC260</f>
        <v>0.10364178195488723</v>
      </c>
      <c r="AH260" s="1">
        <v>0.13276421804511279</v>
      </c>
      <c r="AI260" s="2">
        <f t="shared" si="66"/>
        <v>0.22077281203007515</v>
      </c>
      <c r="AJ260" s="1">
        <v>0.15928333082706767</v>
      </c>
      <c r="AK260" s="1">
        <v>0.10629768421052632</v>
      </c>
      <c r="AL260" s="4">
        <f t="shared" si="67"/>
        <v>0.26558101503759401</v>
      </c>
      <c r="AM260" s="1">
        <v>4.13069022556391E-2</v>
      </c>
      <c r="AN260" s="4">
        <f t="shared" si="68"/>
        <v>0.30688791729323311</v>
      </c>
      <c r="AO260" s="1">
        <v>4.0523368421052634E-2</v>
      </c>
      <c r="AP260" s="1">
        <v>8.9157218045112785E-2</v>
      </c>
      <c r="AQ260" s="4">
        <f t="shared" si="69"/>
        <v>0.12968058646616543</v>
      </c>
      <c r="AR260" s="1">
        <v>0.43656850375939849</v>
      </c>
      <c r="AS260" s="1">
        <v>0.353537030075188</v>
      </c>
      <c r="AT260" s="1">
        <v>0.20989446616541352</v>
      </c>
      <c r="AU260" s="1">
        <f t="shared" si="70"/>
        <v>0.10054755639097744</v>
      </c>
      <c r="AV260" s="1">
        <v>10</v>
      </c>
      <c r="AW260">
        <v>409</v>
      </c>
      <c r="AX260">
        <v>302</v>
      </c>
      <c r="AY260" s="6">
        <v>8</v>
      </c>
      <c r="AZ260" s="6">
        <v>6</v>
      </c>
      <c r="BA260" s="11">
        <f t="shared" si="71"/>
        <v>25.5625</v>
      </c>
      <c r="BB260">
        <f t="shared" si="72"/>
        <v>18.875</v>
      </c>
      <c r="BC260">
        <f t="shared" si="73"/>
        <v>107</v>
      </c>
      <c r="BD260">
        <f t="shared" si="74"/>
        <v>6.6875</v>
      </c>
      <c r="BE260" s="10">
        <v>11.1701295793924</v>
      </c>
      <c r="BF260" s="6">
        <v>25.985710000000001</v>
      </c>
      <c r="BG260" s="6">
        <v>28.562740000000002</v>
      </c>
      <c r="BH260" s="6">
        <v>0.64399799999999996</v>
      </c>
      <c r="BI260" s="6">
        <v>0.51428600000000002</v>
      </c>
      <c r="BJ260" s="6"/>
      <c r="BK260" s="6" t="s">
        <v>67</v>
      </c>
      <c r="BL260" s="6" t="s">
        <v>96</v>
      </c>
      <c r="BM260" s="6" t="s">
        <v>70</v>
      </c>
      <c r="BN260" s="6" t="s">
        <v>70</v>
      </c>
    </row>
    <row r="261" spans="1:80">
      <c r="A261" s="1" t="s">
        <v>371</v>
      </c>
      <c r="B261" s="1">
        <v>2014</v>
      </c>
      <c r="C261" s="1" t="s">
        <v>79</v>
      </c>
      <c r="D261" s="1">
        <v>6126486</v>
      </c>
      <c r="E261" s="1">
        <v>11520979</v>
      </c>
      <c r="F261" s="1">
        <v>6857046</v>
      </c>
      <c r="G261" s="1">
        <v>3098194</v>
      </c>
      <c r="H261" s="2">
        <f t="shared" si="60"/>
        <v>9955240</v>
      </c>
      <c r="I261" s="2">
        <f>H261+E261</f>
        <v>21476219</v>
      </c>
      <c r="J261" s="1">
        <v>19208595</v>
      </c>
      <c r="K261" s="2">
        <f t="shared" si="61"/>
        <v>27602705</v>
      </c>
      <c r="L261" s="1">
        <v>46811300</v>
      </c>
      <c r="M261" s="1">
        <v>13808832</v>
      </c>
      <c r="N261" s="1">
        <v>23537100</v>
      </c>
      <c r="O261" s="4">
        <f t="shared" si="62"/>
        <v>37345932</v>
      </c>
      <c r="P261" s="1">
        <v>12589051</v>
      </c>
      <c r="Q261" s="4">
        <f t="shared" si="63"/>
        <v>49934983</v>
      </c>
      <c r="R261" s="1">
        <v>7300537</v>
      </c>
      <c r="S261" s="1">
        <v>12531233</v>
      </c>
      <c r="T261" s="4">
        <f t="shared" si="64"/>
        <v>19831770</v>
      </c>
      <c r="U261" s="1">
        <v>69766753</v>
      </c>
      <c r="V261" s="1">
        <v>2014</v>
      </c>
      <c r="W261" s="8">
        <v>9570317</v>
      </c>
      <c r="X261" s="1">
        <v>0.56299999999999994</v>
      </c>
      <c r="Y261" s="1">
        <v>0</v>
      </c>
      <c r="Z261" s="1">
        <v>0</v>
      </c>
      <c r="AA261" s="1">
        <v>133000000</v>
      </c>
      <c r="AB261" s="1">
        <v>4.6063804511278193E-2</v>
      </c>
      <c r="AC261" s="1">
        <v>8.6623902255639096E-2</v>
      </c>
      <c r="AD261" s="1">
        <v>5.1556736842105266E-2</v>
      </c>
      <c r="AE261" s="1">
        <v>2.3294691729323309E-2</v>
      </c>
      <c r="AF261" s="2">
        <f t="shared" si="65"/>
        <v>7.4851428571428569E-2</v>
      </c>
      <c r="AG261" s="2">
        <f>AF261+AC261</f>
        <v>0.16147533082706766</v>
      </c>
      <c r="AH261" s="1">
        <v>0.14442552631578948</v>
      </c>
      <c r="AI261" s="2">
        <f t="shared" si="66"/>
        <v>0.20753913533834586</v>
      </c>
      <c r="AJ261" s="1">
        <v>0.10382580451127819</v>
      </c>
      <c r="AK261" s="1">
        <v>0.17697067669172933</v>
      </c>
      <c r="AL261" s="4">
        <f t="shared" si="67"/>
        <v>0.28079648120300754</v>
      </c>
      <c r="AM261" s="1">
        <v>9.4654518796992479E-2</v>
      </c>
      <c r="AN261" s="4">
        <f t="shared" si="68"/>
        <v>0.37545100000000003</v>
      </c>
      <c r="AO261" s="1">
        <v>5.4891255639097747E-2</v>
      </c>
      <c r="AP261" s="1">
        <v>9.4219796992481203E-2</v>
      </c>
      <c r="AQ261" s="4">
        <f t="shared" si="69"/>
        <v>0.14911105263157895</v>
      </c>
      <c r="AR261" s="1">
        <v>0.52456205263157896</v>
      </c>
      <c r="AS261" s="1">
        <v>0.35196466165413531</v>
      </c>
      <c r="AT261" s="1">
        <v>0.12347328571428573</v>
      </c>
      <c r="AU261" s="1">
        <f t="shared" si="70"/>
        <v>7.1957270676691734E-2</v>
      </c>
      <c r="AV261" s="1">
        <v>9</v>
      </c>
      <c r="AW261">
        <v>343</v>
      </c>
      <c r="AX261">
        <v>289</v>
      </c>
      <c r="AY261" s="6">
        <v>18</v>
      </c>
      <c r="AZ261" s="6">
        <v>4</v>
      </c>
      <c r="BA261" s="11">
        <f t="shared" si="71"/>
        <v>21.4375</v>
      </c>
      <c r="BB261">
        <f t="shared" si="72"/>
        <v>18.0625</v>
      </c>
      <c r="BC261">
        <f t="shared" si="73"/>
        <v>54</v>
      </c>
      <c r="BD261">
        <f t="shared" si="74"/>
        <v>3.375</v>
      </c>
      <c r="BE261" s="10">
        <v>9.6308364232433306</v>
      </c>
      <c r="BF261" s="6">
        <v>25.966670000000001</v>
      </c>
      <c r="BG261" s="6">
        <v>27.516480000000001</v>
      </c>
      <c r="BH261" s="6">
        <v>0.57438900000000004</v>
      </c>
      <c r="BI261" s="6">
        <v>0.55000000000000004</v>
      </c>
      <c r="BJ261" s="6"/>
      <c r="BK261" s="6" t="s">
        <v>73</v>
      </c>
      <c r="BL261" s="6" t="s">
        <v>74</v>
      </c>
      <c r="BM261" s="6" t="s">
        <v>75</v>
      </c>
      <c r="BN261" s="6" t="s">
        <v>75</v>
      </c>
    </row>
    <row r="262" spans="1:80">
      <c r="A262" s="1" t="s">
        <v>372</v>
      </c>
      <c r="B262" s="1">
        <v>2014</v>
      </c>
      <c r="C262" s="1" t="s">
        <v>83</v>
      </c>
      <c r="D262" s="1">
        <v>8743113</v>
      </c>
      <c r="E262" s="1">
        <v>11891700</v>
      </c>
      <c r="F262" s="1">
        <v>4162200</v>
      </c>
      <c r="G262" s="1">
        <v>9273200</v>
      </c>
      <c r="H262" s="2">
        <f t="shared" si="60"/>
        <v>13435400</v>
      </c>
      <c r="I262" s="2">
        <f>H262+E262</f>
        <v>25327100</v>
      </c>
      <c r="J262" s="1">
        <v>16431582</v>
      </c>
      <c r="K262" s="2">
        <f t="shared" si="61"/>
        <v>34070213</v>
      </c>
      <c r="L262" s="1">
        <v>50501795</v>
      </c>
      <c r="M262" s="1">
        <v>6505547</v>
      </c>
      <c r="N262" s="1">
        <v>26696480</v>
      </c>
      <c r="O262" s="4">
        <f t="shared" si="62"/>
        <v>33202027</v>
      </c>
      <c r="P262" s="1">
        <v>9299071</v>
      </c>
      <c r="Q262" s="4">
        <f t="shared" si="63"/>
        <v>42501098</v>
      </c>
      <c r="R262" s="1">
        <v>4944876</v>
      </c>
      <c r="S262" s="1">
        <v>1839412</v>
      </c>
      <c r="T262" s="4">
        <f t="shared" si="64"/>
        <v>6784288</v>
      </c>
      <c r="U262" s="1">
        <v>49285386</v>
      </c>
      <c r="V262" s="1">
        <v>2014</v>
      </c>
      <c r="W262" s="8">
        <v>17737701</v>
      </c>
      <c r="X262" s="1">
        <v>0.46899999999999997</v>
      </c>
      <c r="Y262" s="1">
        <v>1</v>
      </c>
      <c r="Z262" s="1">
        <v>0</v>
      </c>
      <c r="AA262" s="1">
        <v>133000000</v>
      </c>
      <c r="AB262" s="1">
        <v>6.5737691729323311E-2</v>
      </c>
      <c r="AC262" s="1">
        <v>8.9411278195488719E-2</v>
      </c>
      <c r="AD262" s="1">
        <v>3.1294736842105264E-2</v>
      </c>
      <c r="AE262" s="1">
        <v>6.9723308270676687E-2</v>
      </c>
      <c r="AF262" s="2">
        <f t="shared" si="65"/>
        <v>0.10101804511278195</v>
      </c>
      <c r="AG262" s="2">
        <f>AF262+AC262</f>
        <v>0.19042932330827067</v>
      </c>
      <c r="AH262" s="1">
        <v>0.12354572932330828</v>
      </c>
      <c r="AI262" s="2">
        <f t="shared" si="66"/>
        <v>0.25616701503759398</v>
      </c>
      <c r="AJ262" s="1">
        <v>4.8913887218045113E-2</v>
      </c>
      <c r="AK262" s="1">
        <v>0.20072541353383458</v>
      </c>
      <c r="AL262" s="4">
        <f t="shared" si="67"/>
        <v>0.24963930075187968</v>
      </c>
      <c r="AM262" s="1">
        <v>6.9917827067669178E-2</v>
      </c>
      <c r="AN262" s="4">
        <f t="shared" si="68"/>
        <v>0.31955712781954887</v>
      </c>
      <c r="AO262" s="1">
        <v>3.7179518796992481E-2</v>
      </c>
      <c r="AP262" s="1">
        <v>1.3830165413533834E-2</v>
      </c>
      <c r="AQ262" s="4">
        <f t="shared" si="69"/>
        <v>5.1009684210526318E-2</v>
      </c>
      <c r="AR262" s="1">
        <v>0.37056681203007519</v>
      </c>
      <c r="AS262" s="1">
        <v>0.37971274436090224</v>
      </c>
      <c r="AT262" s="1">
        <v>0.24972044360902257</v>
      </c>
      <c r="AU262" s="1">
        <f t="shared" si="70"/>
        <v>0.13336617293233083</v>
      </c>
      <c r="AV262" s="1">
        <v>7</v>
      </c>
      <c r="AW262">
        <v>339</v>
      </c>
      <c r="AX262">
        <v>374</v>
      </c>
      <c r="AY262" s="6">
        <v>19</v>
      </c>
      <c r="AZ262" s="6">
        <v>21</v>
      </c>
      <c r="BA262" s="11">
        <f t="shared" si="71"/>
        <v>21.1875</v>
      </c>
      <c r="BB262">
        <f t="shared" si="72"/>
        <v>23.375</v>
      </c>
      <c r="BC262">
        <f t="shared" si="73"/>
        <v>-35</v>
      </c>
      <c r="BD262">
        <f t="shared" si="74"/>
        <v>-2.1875</v>
      </c>
      <c r="BE262" s="10">
        <v>7.0459856515967596</v>
      </c>
      <c r="BF262" s="6">
        <v>26.377050000000001</v>
      </c>
      <c r="BG262" s="6">
        <v>27.631589999999999</v>
      </c>
      <c r="BH262" s="6">
        <v>0.58607699999999996</v>
      </c>
      <c r="BI262" s="6">
        <v>0.59016400000000002</v>
      </c>
      <c r="BJ262" s="6"/>
      <c r="BK262" s="6" t="s">
        <v>73</v>
      </c>
      <c r="BL262" s="6" t="s">
        <v>74</v>
      </c>
      <c r="BM262" s="6" t="s">
        <v>75</v>
      </c>
      <c r="BN262" s="6" t="s">
        <v>75</v>
      </c>
    </row>
    <row r="263" spans="1:80">
      <c r="A263" s="1" t="s">
        <v>373</v>
      </c>
      <c r="B263" s="1">
        <v>2014</v>
      </c>
      <c r="C263" s="1" t="s">
        <v>85</v>
      </c>
      <c r="D263" s="1">
        <v>19219118</v>
      </c>
      <c r="E263" s="1">
        <v>9580845</v>
      </c>
      <c r="F263" s="1">
        <v>12299126</v>
      </c>
      <c r="G263" s="1">
        <v>7234947</v>
      </c>
      <c r="H263" s="2">
        <f t="shared" si="60"/>
        <v>19534073</v>
      </c>
      <c r="I263" s="2">
        <f>H263+E263</f>
        <v>29114918</v>
      </c>
      <c r="J263" s="1">
        <v>16590321</v>
      </c>
      <c r="K263" s="2">
        <f t="shared" si="61"/>
        <v>48334036</v>
      </c>
      <c r="L263" s="1">
        <v>64924357</v>
      </c>
      <c r="M263" s="1">
        <v>4235688</v>
      </c>
      <c r="N263" s="1">
        <v>14352349</v>
      </c>
      <c r="O263" s="4">
        <f t="shared" si="62"/>
        <v>18588037</v>
      </c>
      <c r="P263" s="1">
        <v>10686451</v>
      </c>
      <c r="Q263" s="4">
        <f t="shared" si="63"/>
        <v>29274488</v>
      </c>
      <c r="R263" s="1">
        <v>4434278</v>
      </c>
      <c r="S263" s="1">
        <v>11742197</v>
      </c>
      <c r="T263" s="4">
        <f t="shared" si="64"/>
        <v>16176475</v>
      </c>
      <c r="U263" s="1">
        <v>45450963</v>
      </c>
      <c r="V263" s="1">
        <v>2014</v>
      </c>
      <c r="W263" s="8">
        <v>31089755</v>
      </c>
      <c r="X263" s="1">
        <v>0.313</v>
      </c>
      <c r="Y263" s="1">
        <v>0</v>
      </c>
      <c r="Z263" s="1">
        <v>0</v>
      </c>
      <c r="AA263" s="1">
        <v>133000000</v>
      </c>
      <c r="AB263" s="1">
        <v>0.14450464661654136</v>
      </c>
      <c r="AC263" s="1">
        <v>7.2036428571428571E-2</v>
      </c>
      <c r="AD263" s="1">
        <v>9.2474631578947364E-2</v>
      </c>
      <c r="AE263" s="1">
        <v>5.4398097744360906E-2</v>
      </c>
      <c r="AF263" s="2">
        <f t="shared" si="65"/>
        <v>0.14687272932330828</v>
      </c>
      <c r="AG263" s="2">
        <f>AF263+AC263</f>
        <v>0.21890915789473686</v>
      </c>
      <c r="AH263" s="1">
        <v>0.12473925563909774</v>
      </c>
      <c r="AI263" s="2">
        <f t="shared" si="66"/>
        <v>0.36341380451127819</v>
      </c>
      <c r="AJ263" s="1">
        <v>3.1847278195488722E-2</v>
      </c>
      <c r="AK263" s="1">
        <v>0.1079123984962406</v>
      </c>
      <c r="AL263" s="4">
        <f t="shared" si="67"/>
        <v>0.13975967669172931</v>
      </c>
      <c r="AM263" s="1">
        <v>8.0349255639097741E-2</v>
      </c>
      <c r="AN263" s="4">
        <f t="shared" si="68"/>
        <v>0.22010893233082707</v>
      </c>
      <c r="AO263" s="1">
        <v>3.3340436090225564E-2</v>
      </c>
      <c r="AP263" s="1">
        <v>8.8287195488721798E-2</v>
      </c>
      <c r="AQ263" s="4">
        <f t="shared" si="69"/>
        <v>0.12162763157894736</v>
      </c>
      <c r="AR263" s="1">
        <v>0.34173656390977442</v>
      </c>
      <c r="AS263" s="1">
        <v>0.48815306015037596</v>
      </c>
      <c r="AT263" s="1">
        <v>0.17011037593984968</v>
      </c>
      <c r="AU263" s="1">
        <f t="shared" si="70"/>
        <v>0.23375755639097745</v>
      </c>
      <c r="AV263" s="1">
        <v>5</v>
      </c>
      <c r="AW263">
        <v>319</v>
      </c>
      <c r="AX263">
        <v>442</v>
      </c>
      <c r="AY263" s="6">
        <v>23</v>
      </c>
      <c r="AZ263" s="6">
        <v>31</v>
      </c>
      <c r="BA263" s="11">
        <f t="shared" si="71"/>
        <v>19.9375</v>
      </c>
      <c r="BB263">
        <f t="shared" si="72"/>
        <v>27.625</v>
      </c>
      <c r="BC263">
        <f t="shared" si="73"/>
        <v>-123</v>
      </c>
      <c r="BD263">
        <f t="shared" si="74"/>
        <v>-7.6875</v>
      </c>
      <c r="BE263" s="10">
        <v>4.4901781470473399</v>
      </c>
      <c r="BF263" s="6">
        <v>26.841270000000002</v>
      </c>
      <c r="BG263" s="6">
        <v>29.172450000000001</v>
      </c>
      <c r="BH263" s="6">
        <v>0.64629599999999998</v>
      </c>
      <c r="BI263" s="6">
        <v>0.44444400000000001</v>
      </c>
      <c r="BJ263" s="6"/>
      <c r="BK263" s="6" t="s">
        <v>67</v>
      </c>
      <c r="BL263" s="6" t="s">
        <v>96</v>
      </c>
      <c r="BM263" s="6" t="s">
        <v>70</v>
      </c>
      <c r="BN263" s="6" t="s">
        <v>70</v>
      </c>
    </row>
    <row r="264" spans="1:80">
      <c r="A264" s="1" t="s">
        <v>374</v>
      </c>
      <c r="B264" s="1">
        <v>2014</v>
      </c>
      <c r="C264" s="1" t="s">
        <v>87</v>
      </c>
      <c r="D264" s="1">
        <v>10928123</v>
      </c>
      <c r="E264" s="1">
        <v>3654864</v>
      </c>
      <c r="F264" s="1">
        <v>10856116</v>
      </c>
      <c r="G264" s="1">
        <v>8253862</v>
      </c>
      <c r="H264" s="2">
        <f t="shared" si="60"/>
        <v>19109978</v>
      </c>
      <c r="I264" s="2">
        <f>H264+E264</f>
        <v>22764842</v>
      </c>
      <c r="J264" s="1">
        <v>19718975</v>
      </c>
      <c r="K264" s="2">
        <f t="shared" si="61"/>
        <v>33692965</v>
      </c>
      <c r="L264" s="1">
        <v>53411940</v>
      </c>
      <c r="M264" s="1">
        <v>16160671</v>
      </c>
      <c r="N264" s="1">
        <v>14597786</v>
      </c>
      <c r="O264" s="4">
        <f t="shared" si="62"/>
        <v>30758457</v>
      </c>
      <c r="P264" s="1">
        <v>13702366</v>
      </c>
      <c r="Q264" s="4">
        <f t="shared" si="63"/>
        <v>44460823</v>
      </c>
      <c r="R264" s="1">
        <v>6534061</v>
      </c>
      <c r="S264" s="1">
        <v>17739200</v>
      </c>
      <c r="T264" s="4">
        <f t="shared" si="64"/>
        <v>24273261</v>
      </c>
      <c r="U264" s="1">
        <v>68734084</v>
      </c>
      <c r="V264" s="1">
        <v>2014</v>
      </c>
      <c r="W264" s="8">
        <v>10023076</v>
      </c>
      <c r="X264" s="1">
        <v>0.65600000000000003</v>
      </c>
      <c r="Y264" s="1">
        <v>1</v>
      </c>
      <c r="Z264" s="1">
        <v>0</v>
      </c>
      <c r="AA264" s="1">
        <v>133000000</v>
      </c>
      <c r="AB264" s="1">
        <v>8.2166338345864662E-2</v>
      </c>
      <c r="AC264" s="1">
        <v>2.7480180451127819E-2</v>
      </c>
      <c r="AD264" s="1">
        <v>8.1624932330827071E-2</v>
      </c>
      <c r="AE264" s="1">
        <v>6.2059112781954889E-2</v>
      </c>
      <c r="AF264" s="2">
        <f t="shared" si="65"/>
        <v>0.14368404511278196</v>
      </c>
      <c r="AG264" s="2">
        <f>AF264+AC264</f>
        <v>0.17116422556390978</v>
      </c>
      <c r="AH264" s="1">
        <v>0.14826296992481203</v>
      </c>
      <c r="AI264" s="2">
        <f t="shared" si="66"/>
        <v>0.25333056390977449</v>
      </c>
      <c r="AJ264" s="1">
        <v>0.1215088045112782</v>
      </c>
      <c r="AK264" s="1">
        <v>0.10975778947368421</v>
      </c>
      <c r="AL264" s="4">
        <f t="shared" si="67"/>
        <v>0.23126659398496241</v>
      </c>
      <c r="AM264" s="1">
        <v>0.10302530827067669</v>
      </c>
      <c r="AN264" s="4">
        <f t="shared" si="68"/>
        <v>0.3342919022556391</v>
      </c>
      <c r="AO264" s="1">
        <v>4.912827819548872E-2</v>
      </c>
      <c r="AP264" s="1">
        <v>0.13337744360902257</v>
      </c>
      <c r="AQ264" s="4">
        <f t="shared" si="69"/>
        <v>0.1825057218045113</v>
      </c>
      <c r="AR264" s="1">
        <v>0.5167976240601504</v>
      </c>
      <c r="AS264" s="1">
        <v>0.40159353383458646</v>
      </c>
      <c r="AT264" s="1">
        <v>8.1608842105263202E-2</v>
      </c>
      <c r="AU264" s="1">
        <f t="shared" si="70"/>
        <v>7.536147368421052E-2</v>
      </c>
      <c r="AV264" s="1">
        <v>10</v>
      </c>
      <c r="AW264">
        <v>365</v>
      </c>
      <c r="AX264">
        <v>344</v>
      </c>
      <c r="AY264" s="6">
        <v>15</v>
      </c>
      <c r="AZ264" s="6">
        <v>12</v>
      </c>
      <c r="BA264" s="11">
        <f t="shared" si="71"/>
        <v>22.8125</v>
      </c>
      <c r="BB264">
        <f t="shared" si="72"/>
        <v>21.5</v>
      </c>
      <c r="BC264">
        <f t="shared" si="73"/>
        <v>21</v>
      </c>
      <c r="BD264">
        <f t="shared" si="74"/>
        <v>1.3125</v>
      </c>
      <c r="BE264" s="10">
        <v>8.6724086090372996</v>
      </c>
      <c r="BF264" s="6">
        <v>26.295079999999999</v>
      </c>
      <c r="BG264" s="6">
        <v>27.392199999999999</v>
      </c>
      <c r="BH264" s="6">
        <v>0.55300899999999997</v>
      </c>
      <c r="BI264" s="6">
        <v>0.72131100000000004</v>
      </c>
      <c r="BJ264" s="6"/>
      <c r="BK264" s="6" t="s">
        <v>73</v>
      </c>
      <c r="BL264" s="6" t="s">
        <v>74</v>
      </c>
      <c r="BM264" s="6" t="s">
        <v>75</v>
      </c>
      <c r="BN264" s="6" t="s">
        <v>75</v>
      </c>
    </row>
    <row r="265" spans="1:80">
      <c r="A265" s="1" t="s">
        <v>375</v>
      </c>
      <c r="B265" s="1">
        <v>2014</v>
      </c>
      <c r="C265" s="1" t="s">
        <v>89</v>
      </c>
      <c r="D265" s="1">
        <v>2807980</v>
      </c>
      <c r="E265" s="1">
        <v>1529301</v>
      </c>
      <c r="F265" s="1">
        <v>10771737</v>
      </c>
      <c r="G265" s="1">
        <v>4683350</v>
      </c>
      <c r="H265" s="2">
        <f t="shared" si="60"/>
        <v>15455087</v>
      </c>
      <c r="I265" s="2">
        <f>H265+E265</f>
        <v>16984388</v>
      </c>
      <c r="J265" s="1">
        <v>30648671</v>
      </c>
      <c r="K265" s="2">
        <f t="shared" si="61"/>
        <v>19792368</v>
      </c>
      <c r="L265" s="1">
        <v>50441039</v>
      </c>
      <c r="M265" s="1">
        <v>17269848</v>
      </c>
      <c r="N265" s="1">
        <v>13935899</v>
      </c>
      <c r="O265" s="4">
        <f t="shared" si="62"/>
        <v>31205747</v>
      </c>
      <c r="P265" s="1">
        <v>7257125</v>
      </c>
      <c r="Q265" s="4">
        <f t="shared" si="63"/>
        <v>38462872</v>
      </c>
      <c r="R265" s="1">
        <v>6699334</v>
      </c>
      <c r="S265" s="1">
        <v>17398562</v>
      </c>
      <c r="T265" s="4">
        <f t="shared" si="64"/>
        <v>24097896</v>
      </c>
      <c r="U265" s="1">
        <v>62560768</v>
      </c>
      <c r="V265" s="1">
        <v>2014</v>
      </c>
      <c r="W265" s="8">
        <v>17296800</v>
      </c>
      <c r="X265" s="1">
        <v>0.438</v>
      </c>
      <c r="Y265" s="1">
        <v>0</v>
      </c>
      <c r="Z265" s="1">
        <v>0</v>
      </c>
      <c r="AA265" s="1">
        <v>133000000</v>
      </c>
      <c r="AB265" s="1">
        <v>2.1112631578947369E-2</v>
      </c>
      <c r="AC265" s="1">
        <v>1.1498503759398496E-2</v>
      </c>
      <c r="AD265" s="1">
        <v>8.0990503759398494E-2</v>
      </c>
      <c r="AE265" s="1">
        <v>3.5213157894736842E-2</v>
      </c>
      <c r="AF265" s="2">
        <f t="shared" si="65"/>
        <v>0.11620366165413534</v>
      </c>
      <c r="AG265" s="2">
        <f>AF265+AC265</f>
        <v>0.12770216541353385</v>
      </c>
      <c r="AH265" s="1">
        <v>0.23044113533834587</v>
      </c>
      <c r="AI265" s="2">
        <f t="shared" si="66"/>
        <v>0.14881479699248121</v>
      </c>
      <c r="AJ265" s="1">
        <v>0.12984848120300752</v>
      </c>
      <c r="AK265" s="1">
        <v>0.10478119548872181</v>
      </c>
      <c r="AL265" s="4">
        <f t="shared" si="67"/>
        <v>0.23462967669172932</v>
      </c>
      <c r="AM265" s="1">
        <v>5.4564849624060149E-2</v>
      </c>
      <c r="AN265" s="4">
        <f t="shared" si="68"/>
        <v>0.28919452631578946</v>
      </c>
      <c r="AO265" s="1">
        <v>5.0370932330827067E-2</v>
      </c>
      <c r="AP265" s="1">
        <v>0.13081625563909774</v>
      </c>
      <c r="AQ265" s="4">
        <f t="shared" si="69"/>
        <v>0.18118718796992481</v>
      </c>
      <c r="AR265" s="1">
        <v>0.47038171428571429</v>
      </c>
      <c r="AS265" s="1">
        <v>0.37925593233082705</v>
      </c>
      <c r="AT265" s="1">
        <v>0.1503623533834586</v>
      </c>
      <c r="AU265" s="1">
        <f t="shared" si="70"/>
        <v>0.13005112781954886</v>
      </c>
      <c r="AV265" s="1">
        <v>7</v>
      </c>
      <c r="AW265">
        <v>299</v>
      </c>
      <c r="AX265">
        <v>337</v>
      </c>
      <c r="AY265" s="6">
        <v>27</v>
      </c>
      <c r="AZ265" s="6">
        <v>9</v>
      </c>
      <c r="BA265" s="11">
        <f t="shared" si="71"/>
        <v>18.6875</v>
      </c>
      <c r="BB265">
        <f t="shared" si="72"/>
        <v>21.0625</v>
      </c>
      <c r="BC265">
        <f t="shared" si="73"/>
        <v>-38</v>
      </c>
      <c r="BD265">
        <f t="shared" si="74"/>
        <v>-2.375</v>
      </c>
      <c r="BE265" s="10">
        <v>6.9588558503052997</v>
      </c>
      <c r="BF265" s="6">
        <v>25.75385</v>
      </c>
      <c r="BG265" s="6">
        <v>27.396239999999999</v>
      </c>
      <c r="BH265" s="6">
        <v>0.64860099999999998</v>
      </c>
      <c r="BI265" s="6">
        <v>0.446154</v>
      </c>
      <c r="BJ265" s="6"/>
      <c r="BK265" s="6" t="s">
        <v>73</v>
      </c>
      <c r="BL265" s="6" t="s">
        <v>96</v>
      </c>
      <c r="BM265" s="6" t="s">
        <v>93</v>
      </c>
      <c r="BN265" s="6" t="s">
        <v>93</v>
      </c>
    </row>
    <row r="266" spans="1:80">
      <c r="A266" s="1" t="s">
        <v>376</v>
      </c>
      <c r="B266" s="1">
        <v>2014</v>
      </c>
      <c r="C266" s="1" t="s">
        <v>91</v>
      </c>
      <c r="D266" s="1">
        <v>12764666</v>
      </c>
      <c r="E266" s="1">
        <v>2815945</v>
      </c>
      <c r="F266" s="1">
        <v>5655361</v>
      </c>
      <c r="G266" s="1">
        <v>9965144</v>
      </c>
      <c r="H266" s="2">
        <f t="shared" si="60"/>
        <v>15620505</v>
      </c>
      <c r="I266" s="2">
        <f>H266+E266</f>
        <v>18436450</v>
      </c>
      <c r="J266" s="1">
        <v>21402763</v>
      </c>
      <c r="K266" s="2">
        <f t="shared" si="61"/>
        <v>31201116</v>
      </c>
      <c r="L266" s="1">
        <v>52603879</v>
      </c>
      <c r="M266" s="1">
        <v>5927135</v>
      </c>
      <c r="N266" s="1">
        <v>5288895</v>
      </c>
      <c r="O266" s="4">
        <f t="shared" si="62"/>
        <v>11216030</v>
      </c>
      <c r="P266" s="1">
        <v>10078315</v>
      </c>
      <c r="Q266" s="4">
        <f t="shared" si="63"/>
        <v>21294345</v>
      </c>
      <c r="R266" s="1">
        <v>4115045</v>
      </c>
      <c r="S266" s="1">
        <v>21287488</v>
      </c>
      <c r="T266" s="4">
        <f t="shared" si="64"/>
        <v>25402533</v>
      </c>
      <c r="U266" s="1">
        <v>46696878</v>
      </c>
      <c r="V266" s="1">
        <v>2014</v>
      </c>
      <c r="W266" s="8">
        <v>13811912</v>
      </c>
      <c r="X266" s="1">
        <v>0.75</v>
      </c>
      <c r="Y266" s="1">
        <v>1</v>
      </c>
      <c r="Z266" s="1">
        <v>0</v>
      </c>
      <c r="AA266" s="1">
        <v>133000000</v>
      </c>
      <c r="AB266" s="1">
        <v>9.5974932330827073E-2</v>
      </c>
      <c r="AC266" s="1">
        <v>2.117251879699248E-2</v>
      </c>
      <c r="AD266" s="1">
        <v>4.2521511278195485E-2</v>
      </c>
      <c r="AE266" s="1">
        <v>7.4925894736842108E-2</v>
      </c>
      <c r="AF266" s="2">
        <f t="shared" si="65"/>
        <v>0.11744740601503759</v>
      </c>
      <c r="AG266" s="2">
        <f>AF266+AC266</f>
        <v>0.13861992481203006</v>
      </c>
      <c r="AH266" s="1">
        <v>0.16092303007518796</v>
      </c>
      <c r="AI266" s="2">
        <f t="shared" si="66"/>
        <v>0.23459485714285713</v>
      </c>
      <c r="AJ266" s="1">
        <v>4.4564924812030074E-2</v>
      </c>
      <c r="AK266" s="1">
        <v>3.9766127819548872E-2</v>
      </c>
      <c r="AL266" s="4">
        <f t="shared" si="67"/>
        <v>8.4331052631578945E-2</v>
      </c>
      <c r="AM266" s="1">
        <v>7.577680451127819E-2</v>
      </c>
      <c r="AN266" s="4">
        <f t="shared" si="68"/>
        <v>0.16010785714285714</v>
      </c>
      <c r="AO266" s="1">
        <v>3.0940187969924812E-2</v>
      </c>
      <c r="AP266" s="1">
        <v>0.16005630075187971</v>
      </c>
      <c r="AQ266" s="4">
        <f t="shared" si="69"/>
        <v>0.19099648872180452</v>
      </c>
      <c r="AR266" s="1">
        <v>0.35110434586466166</v>
      </c>
      <c r="AS266" s="1">
        <v>0.39551788721804509</v>
      </c>
      <c r="AT266" s="1">
        <v>0.25337776691729319</v>
      </c>
      <c r="AU266" s="1">
        <f t="shared" si="70"/>
        <v>0.10384896240601504</v>
      </c>
      <c r="AV266" s="1">
        <v>12</v>
      </c>
      <c r="AW266">
        <v>467</v>
      </c>
      <c r="AX266">
        <v>352</v>
      </c>
      <c r="AY266" s="6">
        <v>5</v>
      </c>
      <c r="AZ266" s="6">
        <v>15</v>
      </c>
      <c r="BA266" s="11">
        <f t="shared" si="71"/>
        <v>29.1875</v>
      </c>
      <c r="BB266">
        <f t="shared" si="72"/>
        <v>22</v>
      </c>
      <c r="BC266">
        <f t="shared" si="73"/>
        <v>115</v>
      </c>
      <c r="BD266">
        <f t="shared" si="74"/>
        <v>7.1875</v>
      </c>
      <c r="BE266" s="10">
        <v>11.402475716169601</v>
      </c>
      <c r="BF266" s="6">
        <v>26.05</v>
      </c>
      <c r="BG266" s="6">
        <v>27.93939</v>
      </c>
      <c r="BH266" s="6">
        <v>0.57978700000000005</v>
      </c>
      <c r="BI266" s="6">
        <v>0.65</v>
      </c>
      <c r="BJ266" s="6"/>
      <c r="BK266" s="6" t="s">
        <v>80</v>
      </c>
      <c r="BL266" s="6" t="s">
        <v>74</v>
      </c>
      <c r="BM266" s="6" t="s">
        <v>81</v>
      </c>
      <c r="BN266" s="6" t="s">
        <v>75</v>
      </c>
    </row>
    <row r="267" spans="1:80">
      <c r="A267" s="1" t="s">
        <v>377</v>
      </c>
      <c r="B267" s="1">
        <v>2014</v>
      </c>
      <c r="C267" s="1" t="s">
        <v>95</v>
      </c>
      <c r="D267" s="1">
        <v>18629094</v>
      </c>
      <c r="E267" s="1">
        <v>2748063</v>
      </c>
      <c r="F267" s="1">
        <v>18771159</v>
      </c>
      <c r="G267" s="1">
        <v>3669295</v>
      </c>
      <c r="H267" s="2">
        <f t="shared" si="60"/>
        <v>22440454</v>
      </c>
      <c r="I267" s="2">
        <f>H267+E267</f>
        <v>25188517</v>
      </c>
      <c r="J267" s="1">
        <v>25225932</v>
      </c>
      <c r="K267" s="2">
        <f t="shared" si="61"/>
        <v>43817611</v>
      </c>
      <c r="L267" s="1">
        <v>69043543</v>
      </c>
      <c r="M267" s="1">
        <v>7401361</v>
      </c>
      <c r="N267" s="1">
        <v>18552790</v>
      </c>
      <c r="O267" s="4">
        <f t="shared" si="62"/>
        <v>25954151</v>
      </c>
      <c r="P267" s="1">
        <v>3982315</v>
      </c>
      <c r="Q267" s="4">
        <f t="shared" si="63"/>
        <v>29936466</v>
      </c>
      <c r="R267" s="1">
        <v>7141122</v>
      </c>
      <c r="S267" s="1">
        <v>15320403</v>
      </c>
      <c r="T267" s="4">
        <f t="shared" si="64"/>
        <v>22461525</v>
      </c>
      <c r="U267" s="1">
        <v>52397991</v>
      </c>
      <c r="V267" s="1">
        <v>2014</v>
      </c>
      <c r="W267" s="8">
        <v>4408698</v>
      </c>
      <c r="X267" s="1">
        <v>0.75</v>
      </c>
      <c r="Y267" s="1">
        <v>1</v>
      </c>
      <c r="Z267" s="1">
        <v>0</v>
      </c>
      <c r="AA267" s="1">
        <v>133000000</v>
      </c>
      <c r="AB267" s="1">
        <v>0.14006837593984964</v>
      </c>
      <c r="AC267" s="1">
        <v>2.0662127819548872E-2</v>
      </c>
      <c r="AD267" s="1">
        <v>0.14113653383458646</v>
      </c>
      <c r="AE267" s="1">
        <v>2.7588684210526317E-2</v>
      </c>
      <c r="AF267" s="2">
        <f t="shared" si="65"/>
        <v>0.16872521804511278</v>
      </c>
      <c r="AG267" s="2">
        <f>AF267+AC267</f>
        <v>0.18938734586466166</v>
      </c>
      <c r="AH267" s="1">
        <v>0.18966866165413535</v>
      </c>
      <c r="AI267" s="2">
        <f t="shared" si="66"/>
        <v>0.32945572180451127</v>
      </c>
      <c r="AJ267" s="1">
        <v>5.5649330827067668E-2</v>
      </c>
      <c r="AK267" s="1">
        <v>0.13949466165413535</v>
      </c>
      <c r="AL267" s="4">
        <f t="shared" si="67"/>
        <v>0.19514399248120301</v>
      </c>
      <c r="AM267" s="1">
        <v>2.9942218045112781E-2</v>
      </c>
      <c r="AN267" s="4">
        <f t="shared" si="68"/>
        <v>0.22508621052631578</v>
      </c>
      <c r="AO267" s="1">
        <v>5.3692646616541356E-2</v>
      </c>
      <c r="AP267" s="1">
        <v>0.115191</v>
      </c>
      <c r="AQ267" s="4">
        <f t="shared" si="69"/>
        <v>0.16888364661654137</v>
      </c>
      <c r="AR267" s="1">
        <v>0.39396985714285715</v>
      </c>
      <c r="AS267" s="1">
        <v>0.51912438345864664</v>
      </c>
      <c r="AT267" s="1">
        <v>8.6905759398496207E-2</v>
      </c>
      <c r="AU267" s="1">
        <f t="shared" si="70"/>
        <v>3.3148105263157895E-2</v>
      </c>
      <c r="AV267" s="1">
        <v>12</v>
      </c>
      <c r="AW267">
        <v>482</v>
      </c>
      <c r="AX267">
        <v>354</v>
      </c>
      <c r="AY267" s="6">
        <v>2</v>
      </c>
      <c r="AZ267" s="6">
        <v>16</v>
      </c>
      <c r="BA267" s="11">
        <f t="shared" si="71"/>
        <v>30.125</v>
      </c>
      <c r="BB267">
        <f t="shared" si="72"/>
        <v>22.125</v>
      </c>
      <c r="BC267">
        <f t="shared" si="73"/>
        <v>128</v>
      </c>
      <c r="BD267">
        <f t="shared" si="74"/>
        <v>8</v>
      </c>
      <c r="BE267" s="10">
        <v>11.7800381884326</v>
      </c>
      <c r="BF267" s="6">
        <v>26.147539999999999</v>
      </c>
      <c r="BG267" s="6">
        <v>29.125389999999999</v>
      </c>
      <c r="BH267" s="6">
        <v>0.61586099999999999</v>
      </c>
      <c r="BI267" s="6">
        <v>0.62295100000000003</v>
      </c>
      <c r="BJ267" s="6"/>
      <c r="BK267" s="6" t="s">
        <v>67</v>
      </c>
      <c r="BL267" s="6" t="s">
        <v>68</v>
      </c>
      <c r="BM267" s="6" t="s">
        <v>69</v>
      </c>
      <c r="BN267" s="6" t="s">
        <v>70</v>
      </c>
    </row>
    <row r="268" spans="1:80">
      <c r="A268" s="1" t="s">
        <v>378</v>
      </c>
      <c r="B268" s="1">
        <v>2014</v>
      </c>
      <c r="C268" s="1" t="s">
        <v>98</v>
      </c>
      <c r="D268" s="1">
        <v>17031668</v>
      </c>
      <c r="E268" s="1">
        <v>6083043</v>
      </c>
      <c r="F268" s="1">
        <v>18606777</v>
      </c>
      <c r="G268" s="1">
        <v>5509002</v>
      </c>
      <c r="H268" s="2">
        <f t="shared" si="60"/>
        <v>24115779</v>
      </c>
      <c r="I268" s="2">
        <f>H268+E268</f>
        <v>30198822</v>
      </c>
      <c r="J268" s="1">
        <v>11871158</v>
      </c>
      <c r="K268" s="2">
        <f t="shared" si="61"/>
        <v>47230490</v>
      </c>
      <c r="L268" s="1">
        <v>59101648</v>
      </c>
      <c r="M268" s="1">
        <v>27994602</v>
      </c>
      <c r="N268" s="1">
        <v>10114648</v>
      </c>
      <c r="O268" s="4">
        <f t="shared" si="62"/>
        <v>38109250</v>
      </c>
      <c r="P268" s="1">
        <v>13479446</v>
      </c>
      <c r="Q268" s="4">
        <f t="shared" si="63"/>
        <v>51588696</v>
      </c>
      <c r="R268" s="1">
        <v>5342000</v>
      </c>
      <c r="S268" s="1">
        <v>4023173</v>
      </c>
      <c r="T268" s="4">
        <f t="shared" si="64"/>
        <v>9365173</v>
      </c>
      <c r="U268" s="1">
        <v>60953869</v>
      </c>
      <c r="V268" s="1">
        <v>2014</v>
      </c>
      <c r="W268" s="8">
        <v>10101719</v>
      </c>
      <c r="X268" s="1">
        <v>0.68799999999999994</v>
      </c>
      <c r="Y268" s="1">
        <v>1</v>
      </c>
      <c r="Z268" s="1">
        <v>0</v>
      </c>
      <c r="AA268" s="1">
        <v>133000000</v>
      </c>
      <c r="AB268" s="1">
        <v>0.12805765413533834</v>
      </c>
      <c r="AC268" s="1">
        <v>4.5737165413533835E-2</v>
      </c>
      <c r="AD268" s="1">
        <v>0.13990057894736843</v>
      </c>
      <c r="AE268" s="1">
        <v>4.1421067669172931E-2</v>
      </c>
      <c r="AF268" s="2">
        <f t="shared" si="65"/>
        <v>0.18132164661654138</v>
      </c>
      <c r="AG268" s="2">
        <f>AF268+AC268</f>
        <v>0.22705881203007522</v>
      </c>
      <c r="AH268" s="1">
        <v>8.9256827067669173E-2</v>
      </c>
      <c r="AI268" s="2">
        <f t="shared" si="66"/>
        <v>0.35511646616541354</v>
      </c>
      <c r="AJ268" s="1">
        <v>0.21048572932330828</v>
      </c>
      <c r="AK268" s="1">
        <v>7.6049984962406017E-2</v>
      </c>
      <c r="AL268" s="4">
        <f t="shared" si="67"/>
        <v>0.28653571428571428</v>
      </c>
      <c r="AM268" s="1">
        <v>0.10134921804511278</v>
      </c>
      <c r="AN268" s="4">
        <f t="shared" si="68"/>
        <v>0.38788493233082705</v>
      </c>
      <c r="AO268" s="1">
        <v>4.0165413533834585E-2</v>
      </c>
      <c r="AP268" s="1">
        <v>3.0249421052631578E-2</v>
      </c>
      <c r="AQ268" s="4">
        <f t="shared" si="69"/>
        <v>7.0414834586466163E-2</v>
      </c>
      <c r="AR268" s="1">
        <v>0.45829976691729324</v>
      </c>
      <c r="AS268" s="1">
        <v>0.44437329323308272</v>
      </c>
      <c r="AT268" s="1">
        <v>9.7326939849624039E-2</v>
      </c>
      <c r="AU268" s="1">
        <f t="shared" si="70"/>
        <v>7.595277443609022E-2</v>
      </c>
      <c r="AV268" s="1">
        <v>11</v>
      </c>
      <c r="AW268">
        <v>321</v>
      </c>
      <c r="AX268">
        <v>282</v>
      </c>
      <c r="AY268" s="6">
        <v>22</v>
      </c>
      <c r="AZ268" s="6">
        <v>3</v>
      </c>
      <c r="BA268" s="11">
        <f t="shared" si="71"/>
        <v>20.0625</v>
      </c>
      <c r="BB268">
        <f t="shared" si="72"/>
        <v>17.625</v>
      </c>
      <c r="BC268">
        <f t="shared" si="73"/>
        <v>39</v>
      </c>
      <c r="BD268">
        <f t="shared" si="74"/>
        <v>2.4375</v>
      </c>
      <c r="BE268" s="10">
        <v>9.1951874167860392</v>
      </c>
      <c r="BF268" s="6">
        <v>26.557379999999998</v>
      </c>
      <c r="BG268" s="6">
        <v>27.226179999999999</v>
      </c>
      <c r="BH268" s="6">
        <v>0.63589099999999998</v>
      </c>
      <c r="BI268" s="6">
        <v>0.60655700000000001</v>
      </c>
      <c r="BJ268" s="6"/>
      <c r="BK268" s="6" t="s">
        <v>73</v>
      </c>
      <c r="BL268" s="6" t="s">
        <v>96</v>
      </c>
      <c r="BM268" s="6" t="s">
        <v>93</v>
      </c>
      <c r="BN268" s="6" t="s">
        <v>93</v>
      </c>
    </row>
    <row r="269" spans="1:80">
      <c r="A269" s="1" t="s">
        <v>379</v>
      </c>
      <c r="B269" s="1">
        <v>2014</v>
      </c>
      <c r="C269" s="1" t="s">
        <v>101</v>
      </c>
      <c r="D269" s="1">
        <v>19273750</v>
      </c>
      <c r="E269" s="1">
        <v>2878903</v>
      </c>
      <c r="F269" s="1">
        <v>9395943</v>
      </c>
      <c r="G269" s="1">
        <v>2464445</v>
      </c>
      <c r="H269" s="2">
        <f>SUM(F269:G269)</f>
        <v>11860388</v>
      </c>
      <c r="I269" s="2">
        <f>H269+E269</f>
        <v>14739291</v>
      </c>
      <c r="J269" s="1">
        <v>18882444</v>
      </c>
      <c r="K269" s="2">
        <f>SUM(D269:G269)</f>
        <v>34013041</v>
      </c>
      <c r="L269" s="1">
        <v>52895485</v>
      </c>
      <c r="M269" s="1">
        <v>7465236</v>
      </c>
      <c r="N269" s="1">
        <v>23761153</v>
      </c>
      <c r="O269" s="4">
        <f>SUM(M269:N269)</f>
        <v>31226389</v>
      </c>
      <c r="P269" s="1">
        <v>11140825</v>
      </c>
      <c r="Q269" s="4">
        <f>SUM(O269:P269)</f>
        <v>42367214</v>
      </c>
      <c r="R269" s="1">
        <v>7570989</v>
      </c>
      <c r="S269" s="1">
        <v>19240070</v>
      </c>
      <c r="T269" s="4">
        <f>SUM(R269:S269)</f>
        <v>26811059</v>
      </c>
      <c r="U269" s="1">
        <v>69178273</v>
      </c>
      <c r="V269" s="1">
        <v>2014</v>
      </c>
      <c r="W269" s="8">
        <v>4306059</v>
      </c>
      <c r="X269" s="1">
        <v>0.75</v>
      </c>
      <c r="Y269" s="1">
        <v>1</v>
      </c>
      <c r="Z269" s="1">
        <v>0</v>
      </c>
      <c r="AA269" s="1">
        <v>133000000</v>
      </c>
      <c r="AB269" s="1">
        <v>0.14491541353383458</v>
      </c>
      <c r="AC269" s="1">
        <v>2.1645887218045112E-2</v>
      </c>
      <c r="AD269" s="1">
        <v>7.0646187969924806E-2</v>
      </c>
      <c r="AE269" s="1">
        <v>1.8529661654135339E-2</v>
      </c>
      <c r="AF269" s="2">
        <f>SUM(AD269:AE269)</f>
        <v>8.9175849624060138E-2</v>
      </c>
      <c r="AG269" s="2">
        <f>AF269+AC269</f>
        <v>0.11082173684210525</v>
      </c>
      <c r="AH269" s="1">
        <v>0.14197326315789474</v>
      </c>
      <c r="AI269" s="2">
        <f>SUM(AB269:AE269)</f>
        <v>0.25573715037593986</v>
      </c>
      <c r="AJ269" s="1">
        <v>5.6129593984962409E-2</v>
      </c>
      <c r="AK269" s="1">
        <v>0.17865528571428571</v>
      </c>
      <c r="AL269" s="4">
        <f>SUM(AJ269:AK269)</f>
        <v>0.23478487969924811</v>
      </c>
      <c r="AM269" s="1">
        <v>8.3765601503759404E-2</v>
      </c>
      <c r="AN269" s="4">
        <f>SUM(AL269:AM269)</f>
        <v>0.3185504812030075</v>
      </c>
      <c r="AO269" s="1">
        <v>5.6924729323308269E-2</v>
      </c>
      <c r="AP269" s="1">
        <v>0.14466218045112783</v>
      </c>
      <c r="AQ269" s="4">
        <f>SUM(AO269:AP269)</f>
        <v>0.20158690977443611</v>
      </c>
      <c r="AR269" s="1">
        <v>0.5201373909774436</v>
      </c>
      <c r="AS269" s="1">
        <v>0.39771041353383457</v>
      </c>
      <c r="AT269" s="1">
        <v>8.215219548872188E-2</v>
      </c>
      <c r="AU269" s="1">
        <f t="shared" si="70"/>
        <v>3.2376383458646615E-2</v>
      </c>
      <c r="AV269" s="1">
        <v>12</v>
      </c>
      <c r="AW269">
        <v>486</v>
      </c>
      <c r="AX269">
        <v>348</v>
      </c>
      <c r="AY269" s="6">
        <v>1</v>
      </c>
      <c r="AZ269" s="6">
        <v>13</v>
      </c>
      <c r="BA269" s="11">
        <f t="shared" si="71"/>
        <v>30.375</v>
      </c>
      <c r="BB269">
        <f t="shared" si="72"/>
        <v>21.75</v>
      </c>
      <c r="BC269">
        <f t="shared" si="73"/>
        <v>138</v>
      </c>
      <c r="BD269">
        <f t="shared" si="74"/>
        <v>8.625</v>
      </c>
      <c r="BE269" s="10">
        <v>12.0704708594041</v>
      </c>
      <c r="BF269" s="6">
        <v>25.714289999999998</v>
      </c>
      <c r="BG269" s="6">
        <v>27.959779999999999</v>
      </c>
      <c r="BH269" s="6">
        <v>0.60876799999999998</v>
      </c>
      <c r="BI269" s="6">
        <v>0.71428599999999998</v>
      </c>
      <c r="BJ269" s="6"/>
      <c r="BK269" s="6" t="s">
        <v>80</v>
      </c>
      <c r="BL269" s="6" t="s">
        <v>68</v>
      </c>
      <c r="BM269" s="6" t="s">
        <v>92</v>
      </c>
      <c r="BN269" s="6" t="s">
        <v>93</v>
      </c>
    </row>
    <row r="270" spans="1:80">
      <c r="A270" s="1" t="s">
        <v>380</v>
      </c>
      <c r="B270" s="1">
        <v>2014</v>
      </c>
      <c r="C270" s="1" t="s">
        <v>104</v>
      </c>
      <c r="D270" s="1">
        <v>4907663</v>
      </c>
      <c r="E270" s="1">
        <v>9457433</v>
      </c>
      <c r="F270" s="1">
        <v>19869037</v>
      </c>
      <c r="G270" s="1">
        <v>4412445</v>
      </c>
      <c r="H270" s="2">
        <f t="shared" si="60"/>
        <v>24281482</v>
      </c>
      <c r="I270" s="2">
        <f>H270+E270</f>
        <v>33738915</v>
      </c>
      <c r="J270" s="1">
        <v>22861050</v>
      </c>
      <c r="K270" s="2">
        <f t="shared" si="61"/>
        <v>38646578</v>
      </c>
      <c r="L270" s="1">
        <v>61507628</v>
      </c>
      <c r="M270" s="1">
        <v>8117519</v>
      </c>
      <c r="N270" s="1">
        <v>8070107</v>
      </c>
      <c r="O270" s="4">
        <f t="shared" si="62"/>
        <v>16187626</v>
      </c>
      <c r="P270" s="1">
        <v>8574142</v>
      </c>
      <c r="Q270" s="4">
        <f t="shared" si="63"/>
        <v>24761768</v>
      </c>
      <c r="R270" s="1">
        <v>3124451</v>
      </c>
      <c r="S270" s="1">
        <v>17795552</v>
      </c>
      <c r="T270" s="4">
        <f t="shared" si="64"/>
        <v>20920003</v>
      </c>
      <c r="U270" s="1">
        <v>45681771</v>
      </c>
      <c r="V270" s="1">
        <v>2014</v>
      </c>
      <c r="W270" s="8">
        <v>12584666</v>
      </c>
      <c r="X270" s="1">
        <v>0.56299999999999994</v>
      </c>
      <c r="Y270" s="1">
        <v>0</v>
      </c>
      <c r="Z270" s="1">
        <v>0</v>
      </c>
      <c r="AA270" s="1">
        <v>133000000</v>
      </c>
      <c r="AB270" s="1">
        <v>3.689972180451128E-2</v>
      </c>
      <c r="AC270" s="1">
        <v>7.1108518796992481E-2</v>
      </c>
      <c r="AD270" s="1">
        <v>0.14939125563909775</v>
      </c>
      <c r="AE270" s="1">
        <v>3.3176278195488719E-2</v>
      </c>
      <c r="AF270" s="2">
        <f t="shared" si="65"/>
        <v>0.18256753383458646</v>
      </c>
      <c r="AG270" s="2">
        <f>AF270+AC270</f>
        <v>0.25367605263157894</v>
      </c>
      <c r="AH270" s="1">
        <v>0.17188759398496239</v>
      </c>
      <c r="AI270" s="2">
        <f t="shared" si="66"/>
        <v>0.29057577443609028</v>
      </c>
      <c r="AJ270" s="1">
        <v>6.1033977443609021E-2</v>
      </c>
      <c r="AK270" s="1">
        <v>6.0677496240601501E-2</v>
      </c>
      <c r="AL270" s="4">
        <f t="shared" si="67"/>
        <v>0.12171147368421052</v>
      </c>
      <c r="AM270" s="1">
        <v>6.4467233082706771E-2</v>
      </c>
      <c r="AN270" s="4">
        <f t="shared" si="68"/>
        <v>0.18617870676691728</v>
      </c>
      <c r="AO270" s="1">
        <v>2.3492112781954889E-2</v>
      </c>
      <c r="AP270" s="1">
        <v>0.13380114285714287</v>
      </c>
      <c r="AQ270" s="4">
        <f t="shared" si="69"/>
        <v>0.15729325563909777</v>
      </c>
      <c r="AR270" s="1">
        <v>0.34347196240601502</v>
      </c>
      <c r="AS270" s="1">
        <v>0.46246336842105262</v>
      </c>
      <c r="AT270" s="1">
        <v>0.19406466917293241</v>
      </c>
      <c r="AU270" s="1">
        <f t="shared" si="70"/>
        <v>9.4621548872180453E-2</v>
      </c>
      <c r="AV270" s="1">
        <v>9</v>
      </c>
      <c r="AW270">
        <v>372</v>
      </c>
      <c r="AX270">
        <v>307</v>
      </c>
      <c r="AY270" s="6">
        <v>14</v>
      </c>
      <c r="AZ270" s="6">
        <v>7</v>
      </c>
      <c r="BA270" s="11">
        <f t="shared" si="71"/>
        <v>23.25</v>
      </c>
      <c r="BB270">
        <f t="shared" si="72"/>
        <v>19.1875</v>
      </c>
      <c r="BC270">
        <f t="shared" si="73"/>
        <v>65</v>
      </c>
      <c r="BD270">
        <f t="shared" si="74"/>
        <v>4.0625</v>
      </c>
      <c r="BE270" s="10">
        <v>9.9503123613120099</v>
      </c>
      <c r="BF270" s="6">
        <v>25.8</v>
      </c>
      <c r="BG270" s="6">
        <v>28.334009999999999</v>
      </c>
      <c r="BH270" s="6">
        <v>0.64208799999999999</v>
      </c>
      <c r="BI270" s="6">
        <v>0.52307700000000001</v>
      </c>
      <c r="BJ270" s="6"/>
      <c r="BK270" s="6" t="s">
        <v>80</v>
      </c>
      <c r="BL270" s="6" t="s">
        <v>96</v>
      </c>
      <c r="BM270" s="6" t="s">
        <v>164</v>
      </c>
      <c r="BN270" s="6" t="s">
        <v>70</v>
      </c>
    </row>
    <row r="271" spans="1:80">
      <c r="A271" s="1" t="s">
        <v>381</v>
      </c>
      <c r="B271" s="1">
        <v>2014</v>
      </c>
      <c r="C271" s="1" t="s">
        <v>106</v>
      </c>
      <c r="D271" s="1">
        <v>9779454</v>
      </c>
      <c r="E271" s="1">
        <v>4019936</v>
      </c>
      <c r="F271" s="1">
        <v>11976863</v>
      </c>
      <c r="G271" s="1">
        <v>2894739</v>
      </c>
      <c r="H271" s="2">
        <f t="shared" si="60"/>
        <v>14871602</v>
      </c>
      <c r="I271" s="2">
        <f>H271+E271</f>
        <v>18891538</v>
      </c>
      <c r="J271" s="1">
        <v>16559625</v>
      </c>
      <c r="K271" s="2">
        <f t="shared" si="61"/>
        <v>28670992</v>
      </c>
      <c r="L271" s="1">
        <v>45230617</v>
      </c>
      <c r="M271" s="1">
        <v>18595139</v>
      </c>
      <c r="N271" s="1">
        <v>16302457</v>
      </c>
      <c r="O271" s="4">
        <f t="shared" si="62"/>
        <v>34897596</v>
      </c>
      <c r="P271" s="1">
        <v>7916347</v>
      </c>
      <c r="Q271" s="4">
        <f t="shared" si="63"/>
        <v>42813943</v>
      </c>
      <c r="R271" s="1">
        <v>7474934</v>
      </c>
      <c r="S271" s="1">
        <v>15753451</v>
      </c>
      <c r="T271" s="4">
        <f t="shared" si="64"/>
        <v>23228385</v>
      </c>
      <c r="U271" s="1">
        <v>66042328</v>
      </c>
      <c r="V271" s="1">
        <v>2014</v>
      </c>
      <c r="W271" s="8">
        <v>21764072</v>
      </c>
      <c r="X271" s="1">
        <v>0.68799999999999994</v>
      </c>
      <c r="Y271" s="1">
        <v>1</v>
      </c>
      <c r="Z271" s="1">
        <v>0</v>
      </c>
      <c r="AA271" s="1">
        <v>133000000</v>
      </c>
      <c r="AB271" s="1">
        <v>7.3529729323308271E-2</v>
      </c>
      <c r="AC271" s="1">
        <v>3.0225082706766916E-2</v>
      </c>
      <c r="AD271" s="1">
        <v>9.0051601503759404E-2</v>
      </c>
      <c r="AE271" s="1">
        <v>2.1764954887218045E-2</v>
      </c>
      <c r="AF271" s="2">
        <f t="shared" si="65"/>
        <v>0.11181655639097746</v>
      </c>
      <c r="AG271" s="2">
        <f>AF271+AC271</f>
        <v>0.14204163909774437</v>
      </c>
      <c r="AH271" s="1">
        <v>0.12450845864661654</v>
      </c>
      <c r="AI271" s="2">
        <f t="shared" si="66"/>
        <v>0.21557136842105265</v>
      </c>
      <c r="AJ271" s="1">
        <v>0.13981307518796993</v>
      </c>
      <c r="AK271" s="1">
        <v>0.12257486466165414</v>
      </c>
      <c r="AL271" s="4">
        <f t="shared" si="67"/>
        <v>0.26238793984962405</v>
      </c>
      <c r="AM271" s="1">
        <v>5.9521406015037595E-2</v>
      </c>
      <c r="AN271" s="4">
        <f t="shared" si="68"/>
        <v>0.32190934586466163</v>
      </c>
      <c r="AO271" s="1">
        <v>5.6202511278195491E-2</v>
      </c>
      <c r="AP271" s="1">
        <v>0.118447</v>
      </c>
      <c r="AQ271" s="4">
        <f t="shared" si="69"/>
        <v>0.1746495112781955</v>
      </c>
      <c r="AR271" s="1">
        <v>0.49655885714285714</v>
      </c>
      <c r="AS271" s="1">
        <v>0.34007982706766915</v>
      </c>
      <c r="AT271" s="1">
        <v>0.16336131578947377</v>
      </c>
      <c r="AU271" s="1">
        <f t="shared" si="70"/>
        <v>0.16363963909774437</v>
      </c>
      <c r="AV271" s="1">
        <v>11</v>
      </c>
      <c r="AW271">
        <v>458</v>
      </c>
      <c r="AX271">
        <v>369</v>
      </c>
      <c r="AY271" s="6">
        <v>6</v>
      </c>
      <c r="AZ271" s="6">
        <v>19</v>
      </c>
      <c r="BA271" s="11">
        <f t="shared" si="71"/>
        <v>28.625</v>
      </c>
      <c r="BB271">
        <f t="shared" si="72"/>
        <v>23.0625</v>
      </c>
      <c r="BC271">
        <f t="shared" si="73"/>
        <v>89</v>
      </c>
      <c r="BD271">
        <f t="shared" si="74"/>
        <v>5.5625</v>
      </c>
      <c r="BE271" s="10">
        <v>10.647350771643699</v>
      </c>
      <c r="BF271" s="6">
        <v>26.98462</v>
      </c>
      <c r="BG271" s="6">
        <v>28.75245</v>
      </c>
      <c r="BH271" s="6">
        <v>0.54128200000000004</v>
      </c>
      <c r="BI271" s="6">
        <v>0.63076900000000002</v>
      </c>
      <c r="BJ271" s="6"/>
      <c r="BK271" s="6" t="s">
        <v>67</v>
      </c>
      <c r="BL271" s="6" t="s">
        <v>74</v>
      </c>
      <c r="BM271" s="6" t="s">
        <v>102</v>
      </c>
      <c r="BN271" s="6" t="s">
        <v>75</v>
      </c>
    </row>
    <row r="272" spans="1:80">
      <c r="A272" s="1" t="s">
        <v>382</v>
      </c>
      <c r="B272" s="1">
        <v>2014</v>
      </c>
      <c r="C272" s="1" t="s">
        <v>108</v>
      </c>
      <c r="D272" s="1">
        <v>9554830</v>
      </c>
      <c r="E272" s="1">
        <v>6308882</v>
      </c>
      <c r="F272" s="1">
        <v>8703307</v>
      </c>
      <c r="G272" s="1">
        <v>10592682</v>
      </c>
      <c r="H272" s="2">
        <f t="shared" si="60"/>
        <v>19295989</v>
      </c>
      <c r="I272" s="2">
        <f>H272+E272</f>
        <v>25604871</v>
      </c>
      <c r="J272" s="1">
        <v>15825958</v>
      </c>
      <c r="K272" s="2">
        <f t="shared" si="61"/>
        <v>35159701</v>
      </c>
      <c r="L272" s="1">
        <v>50985659</v>
      </c>
      <c r="M272" s="1">
        <v>11745833</v>
      </c>
      <c r="N272" s="1">
        <v>17144223</v>
      </c>
      <c r="O272" s="4">
        <f t="shared" si="62"/>
        <v>28890056</v>
      </c>
      <c r="P272" s="1">
        <v>13828131</v>
      </c>
      <c r="Q272" s="4">
        <f t="shared" si="63"/>
        <v>42718187</v>
      </c>
      <c r="R272" s="1">
        <v>2960477</v>
      </c>
      <c r="S272" s="1">
        <v>4986002</v>
      </c>
      <c r="T272" s="4">
        <f t="shared" si="64"/>
        <v>7946479</v>
      </c>
      <c r="U272" s="1">
        <v>50664666</v>
      </c>
      <c r="V272" s="1">
        <v>2014</v>
      </c>
      <c r="W272" s="8">
        <v>19105599</v>
      </c>
      <c r="X272" s="1">
        <v>0.188</v>
      </c>
      <c r="Y272" s="1">
        <v>0</v>
      </c>
      <c r="Z272" s="1">
        <v>0</v>
      </c>
      <c r="AA272" s="1">
        <v>133000000</v>
      </c>
      <c r="AB272" s="1">
        <v>7.1840827067669172E-2</v>
      </c>
      <c r="AC272" s="1">
        <v>4.74352030075188E-2</v>
      </c>
      <c r="AD272" s="1">
        <v>6.5438398496240599E-2</v>
      </c>
      <c r="AE272" s="1">
        <v>7.9644225563909779E-2</v>
      </c>
      <c r="AF272" s="2">
        <f t="shared" si="65"/>
        <v>0.14508262406015038</v>
      </c>
      <c r="AG272" s="2">
        <f>AF272+AC272</f>
        <v>0.19251782706766918</v>
      </c>
      <c r="AH272" s="1">
        <v>0.11899216541353383</v>
      </c>
      <c r="AI272" s="2">
        <f t="shared" si="66"/>
        <v>0.26435865413533832</v>
      </c>
      <c r="AJ272" s="1">
        <v>8.831453383458647E-2</v>
      </c>
      <c r="AK272" s="1">
        <v>0.12890393233082706</v>
      </c>
      <c r="AL272" s="4">
        <f t="shared" si="67"/>
        <v>0.21721846616541352</v>
      </c>
      <c r="AM272" s="1">
        <v>0.10397090977443608</v>
      </c>
      <c r="AN272" s="4">
        <f t="shared" si="68"/>
        <v>0.32118937593984959</v>
      </c>
      <c r="AO272" s="1">
        <v>2.2259225563909774E-2</v>
      </c>
      <c r="AP272" s="1">
        <v>3.7488736842105262E-2</v>
      </c>
      <c r="AQ272" s="4">
        <f t="shared" si="69"/>
        <v>5.9747962406015036E-2</v>
      </c>
      <c r="AR272" s="1">
        <v>0.38093733834586468</v>
      </c>
      <c r="AS272" s="1">
        <v>0.38335081954887218</v>
      </c>
      <c r="AT272" s="1">
        <v>0.23571184210526308</v>
      </c>
      <c r="AU272" s="1">
        <f t="shared" si="70"/>
        <v>0.14365112030075189</v>
      </c>
      <c r="AV272" s="1">
        <v>3</v>
      </c>
      <c r="AW272">
        <v>249</v>
      </c>
      <c r="AX272">
        <v>412</v>
      </c>
      <c r="AY272" s="6">
        <v>32</v>
      </c>
      <c r="AZ272" s="6">
        <v>26</v>
      </c>
      <c r="BA272" s="11">
        <f t="shared" si="71"/>
        <v>15.5625</v>
      </c>
      <c r="BB272">
        <f t="shared" si="72"/>
        <v>25.75</v>
      </c>
      <c r="BC272">
        <f t="shared" si="73"/>
        <v>-163</v>
      </c>
      <c r="BD272">
        <f t="shared" si="74"/>
        <v>-10.1875</v>
      </c>
      <c r="BE272" s="10">
        <v>3.32844746316125</v>
      </c>
      <c r="BF272" s="6">
        <v>25.283580000000001</v>
      </c>
      <c r="BG272" s="6">
        <v>27.352440000000001</v>
      </c>
      <c r="BH272" s="6">
        <v>0.59743400000000002</v>
      </c>
      <c r="BI272" s="6">
        <v>0.47761199999999998</v>
      </c>
      <c r="BJ272" s="6"/>
      <c r="BK272" s="6" t="s">
        <v>73</v>
      </c>
      <c r="BL272" s="6" t="s">
        <v>68</v>
      </c>
      <c r="BM272" s="6" t="s">
        <v>99</v>
      </c>
      <c r="BN272" s="6" t="s">
        <v>93</v>
      </c>
    </row>
    <row r="273" spans="1:66">
      <c r="A273" s="1" t="s">
        <v>383</v>
      </c>
      <c r="B273" s="1">
        <v>2014</v>
      </c>
      <c r="C273" s="1" t="s">
        <v>110</v>
      </c>
      <c r="D273" s="1">
        <v>8786939</v>
      </c>
      <c r="E273" s="1">
        <v>11495196</v>
      </c>
      <c r="F273" s="1">
        <v>17692219</v>
      </c>
      <c r="G273" s="1">
        <v>6165390</v>
      </c>
      <c r="H273" s="2">
        <f t="shared" si="60"/>
        <v>23857609</v>
      </c>
      <c r="I273" s="2">
        <f>H273+E273</f>
        <v>35352805</v>
      </c>
      <c r="J273" s="1">
        <v>12179435</v>
      </c>
      <c r="K273" s="2">
        <f t="shared" si="61"/>
        <v>44139744</v>
      </c>
      <c r="L273" s="1">
        <v>56319179</v>
      </c>
      <c r="M273" s="1">
        <v>14297941</v>
      </c>
      <c r="N273" s="1">
        <v>16416918</v>
      </c>
      <c r="O273" s="4">
        <f t="shared" si="62"/>
        <v>30714859</v>
      </c>
      <c r="P273" s="1">
        <v>7815650</v>
      </c>
      <c r="Q273" s="4">
        <f t="shared" si="63"/>
        <v>38530509</v>
      </c>
      <c r="R273" s="1">
        <v>14822053</v>
      </c>
      <c r="S273" s="1">
        <v>8579227</v>
      </c>
      <c r="T273" s="4">
        <f t="shared" si="64"/>
        <v>23401280</v>
      </c>
      <c r="U273" s="1">
        <v>61931789</v>
      </c>
      <c r="V273" s="1">
        <v>2014</v>
      </c>
      <c r="W273" s="8">
        <v>26434525</v>
      </c>
      <c r="X273" s="1">
        <v>0.56299999999999994</v>
      </c>
      <c r="Y273" s="1">
        <v>0</v>
      </c>
      <c r="Z273" s="1">
        <v>0</v>
      </c>
      <c r="AA273" s="1">
        <v>133000000</v>
      </c>
      <c r="AB273" s="1">
        <v>6.6067210526315784E-2</v>
      </c>
      <c r="AC273" s="1">
        <v>8.6430045112781961E-2</v>
      </c>
      <c r="AD273" s="1">
        <v>0.1330242030075188</v>
      </c>
      <c r="AE273" s="1">
        <v>4.6356315789473683E-2</v>
      </c>
      <c r="AF273" s="2">
        <f t="shared" si="65"/>
        <v>0.17938051879699249</v>
      </c>
      <c r="AG273" s="2">
        <f>AF273+AC273</f>
        <v>0.26581056390977442</v>
      </c>
      <c r="AH273" s="1">
        <v>9.1574699248120298E-2</v>
      </c>
      <c r="AI273" s="2">
        <f t="shared" si="66"/>
        <v>0.33187777443609023</v>
      </c>
      <c r="AJ273" s="1">
        <v>0.10750331578947368</v>
      </c>
      <c r="AK273" s="1">
        <v>0.12343547368421053</v>
      </c>
      <c r="AL273" s="4">
        <f t="shared" si="67"/>
        <v>0.23093878947368421</v>
      </c>
      <c r="AM273" s="1">
        <v>5.8764285714285713E-2</v>
      </c>
      <c r="AN273" s="4">
        <f t="shared" si="68"/>
        <v>0.28970307518796989</v>
      </c>
      <c r="AO273" s="1">
        <v>0.11144400751879699</v>
      </c>
      <c r="AP273" s="1">
        <v>6.4505466165413528E-2</v>
      </c>
      <c r="AQ273" s="4">
        <f t="shared" si="69"/>
        <v>0.17594947368421052</v>
      </c>
      <c r="AR273" s="1">
        <v>0.46565254887218044</v>
      </c>
      <c r="AS273" s="1">
        <v>0.42345247368421052</v>
      </c>
      <c r="AT273" s="1">
        <v>0.11089497744360899</v>
      </c>
      <c r="AU273" s="1">
        <f t="shared" si="70"/>
        <v>0.19875582706766917</v>
      </c>
      <c r="AV273" s="1">
        <v>9</v>
      </c>
      <c r="AW273">
        <v>353</v>
      </c>
      <c r="AX273">
        <v>281</v>
      </c>
      <c r="AY273" s="6">
        <v>16</v>
      </c>
      <c r="AZ273" s="6">
        <v>2</v>
      </c>
      <c r="BA273" s="11">
        <f t="shared" si="71"/>
        <v>22.0625</v>
      </c>
      <c r="BB273">
        <f t="shared" si="72"/>
        <v>17.5625</v>
      </c>
      <c r="BC273">
        <f t="shared" si="73"/>
        <v>72</v>
      </c>
      <c r="BD273">
        <f t="shared" si="74"/>
        <v>4.5</v>
      </c>
      <c r="BE273" s="10">
        <v>10.1536152309921</v>
      </c>
      <c r="BF273" s="6">
        <v>26.061540000000001</v>
      </c>
      <c r="BG273" s="6">
        <v>27.980229999999999</v>
      </c>
      <c r="BH273" s="6">
        <v>0.597167</v>
      </c>
      <c r="BI273" s="6">
        <v>0.584615</v>
      </c>
      <c r="BJ273" s="6"/>
      <c r="BK273" s="6" t="s">
        <v>80</v>
      </c>
      <c r="BL273" s="6" t="s">
        <v>68</v>
      </c>
      <c r="BM273" s="6" t="s">
        <v>92</v>
      </c>
      <c r="BN273" s="6" t="s">
        <v>93</v>
      </c>
    </row>
    <row r="274" spans="1:66">
      <c r="A274" s="1" t="s">
        <v>384</v>
      </c>
      <c r="B274" s="1">
        <v>2014</v>
      </c>
      <c r="C274" s="1" t="s">
        <v>118</v>
      </c>
      <c r="D274" s="1">
        <v>9024346</v>
      </c>
      <c r="E274" s="1">
        <v>5275190</v>
      </c>
      <c r="F274" s="1">
        <v>28597229</v>
      </c>
      <c r="G274" s="1">
        <v>2453213</v>
      </c>
      <c r="H274" s="2">
        <f t="shared" si="60"/>
        <v>31050442</v>
      </c>
      <c r="I274" s="2">
        <f>H274+E274</f>
        <v>36325632</v>
      </c>
      <c r="J274" s="1">
        <v>19150146</v>
      </c>
      <c r="K274" s="2">
        <f t="shared" si="61"/>
        <v>45349978</v>
      </c>
      <c r="L274" s="1">
        <v>64500124</v>
      </c>
      <c r="M274" s="1">
        <v>8558325</v>
      </c>
      <c r="N274" s="1">
        <v>16269884</v>
      </c>
      <c r="O274" s="4">
        <f t="shared" si="62"/>
        <v>24828209</v>
      </c>
      <c r="P274" s="1">
        <v>19901899</v>
      </c>
      <c r="Q274" s="4">
        <f t="shared" si="63"/>
        <v>44730108</v>
      </c>
      <c r="R274" s="1">
        <v>7286117</v>
      </c>
      <c r="S274" s="1">
        <v>12603136</v>
      </c>
      <c r="T274" s="4">
        <f t="shared" si="64"/>
        <v>19889253</v>
      </c>
      <c r="U274" s="1">
        <v>64619361</v>
      </c>
      <c r="V274" s="1">
        <v>2014</v>
      </c>
      <c r="W274" s="8">
        <v>29227784</v>
      </c>
      <c r="X274" s="1">
        <v>0.5</v>
      </c>
      <c r="Y274" s="1">
        <v>0</v>
      </c>
      <c r="Z274" s="1">
        <v>0</v>
      </c>
      <c r="AA274" s="1">
        <v>133000000</v>
      </c>
      <c r="AB274" s="1">
        <v>6.7852225563909768E-2</v>
      </c>
      <c r="AC274" s="1">
        <v>3.9663082706766918E-2</v>
      </c>
      <c r="AD274" s="1">
        <v>0.21501675939849624</v>
      </c>
      <c r="AE274" s="1">
        <v>1.844521052631579E-2</v>
      </c>
      <c r="AF274" s="2">
        <f t="shared" si="65"/>
        <v>0.23346196992481202</v>
      </c>
      <c r="AG274" s="2">
        <f>AF274+AC274</f>
        <v>0.27312505263157894</v>
      </c>
      <c r="AH274" s="1">
        <v>0.14398606015037593</v>
      </c>
      <c r="AI274" s="2">
        <f t="shared" si="66"/>
        <v>0.34097727819548873</v>
      </c>
      <c r="AJ274" s="1">
        <v>6.4348308270676696E-2</v>
      </c>
      <c r="AK274" s="1">
        <v>0.12232995488721804</v>
      </c>
      <c r="AL274" s="4">
        <f t="shared" si="67"/>
        <v>0.18667826315789474</v>
      </c>
      <c r="AM274" s="1">
        <v>0.14963833834586465</v>
      </c>
      <c r="AN274" s="4">
        <f t="shared" si="68"/>
        <v>0.33631660150375942</v>
      </c>
      <c r="AO274" s="1">
        <v>5.4782834586466163E-2</v>
      </c>
      <c r="AP274" s="1">
        <v>9.4760421052631577E-2</v>
      </c>
      <c r="AQ274" s="4">
        <f t="shared" si="69"/>
        <v>0.14954325563909773</v>
      </c>
      <c r="AR274" s="1">
        <v>0.48585985714285712</v>
      </c>
      <c r="AS274" s="1">
        <v>0.48496333834586464</v>
      </c>
      <c r="AT274" s="1">
        <v>2.9176804511278243E-2</v>
      </c>
      <c r="AU274" s="1">
        <f t="shared" si="70"/>
        <v>0.21975777443609024</v>
      </c>
      <c r="AV274" s="1">
        <v>8</v>
      </c>
      <c r="AW274">
        <v>388</v>
      </c>
      <c r="AX274">
        <v>373</v>
      </c>
      <c r="AY274" s="6">
        <v>11</v>
      </c>
      <c r="AZ274" s="6">
        <v>20</v>
      </c>
      <c r="BA274" s="11">
        <f t="shared" si="71"/>
        <v>24.25</v>
      </c>
      <c r="BB274">
        <f t="shared" si="72"/>
        <v>23.3125</v>
      </c>
      <c r="BC274">
        <f t="shared" si="73"/>
        <v>15</v>
      </c>
      <c r="BD274">
        <f t="shared" si="74"/>
        <v>0.9375</v>
      </c>
      <c r="BE274" s="10">
        <v>8.4981490064543799</v>
      </c>
      <c r="BF274" s="6">
        <v>25.835819999999998</v>
      </c>
      <c r="BG274" s="6">
        <v>27.924430000000001</v>
      </c>
      <c r="BH274" s="6">
        <v>0.59375299999999998</v>
      </c>
      <c r="BI274" s="6">
        <v>0.58209</v>
      </c>
      <c r="BJ274" s="6"/>
      <c r="BK274" s="6" t="s">
        <v>80</v>
      </c>
      <c r="BL274" s="6" t="s">
        <v>68</v>
      </c>
      <c r="BM274" s="6" t="s">
        <v>92</v>
      </c>
      <c r="BN274" s="6" t="s">
        <v>93</v>
      </c>
    </row>
    <row r="275" spans="1:66">
      <c r="A275" s="1" t="s">
        <v>385</v>
      </c>
      <c r="B275" s="1">
        <v>2014</v>
      </c>
      <c r="C275" s="1" t="s">
        <v>120</v>
      </c>
      <c r="D275" s="1">
        <v>10278077</v>
      </c>
      <c r="E275" s="1">
        <v>13954903</v>
      </c>
      <c r="F275" s="1">
        <v>10289462</v>
      </c>
      <c r="G275" s="1">
        <v>3870027</v>
      </c>
      <c r="H275" s="2">
        <f t="shared" si="60"/>
        <v>14159489</v>
      </c>
      <c r="I275" s="2">
        <f>H275+E275</f>
        <v>28114392</v>
      </c>
      <c r="J275" s="1">
        <v>24118962</v>
      </c>
      <c r="K275" s="2">
        <f t="shared" si="61"/>
        <v>38392469</v>
      </c>
      <c r="L275" s="1">
        <v>62511431</v>
      </c>
      <c r="M275" s="1">
        <v>9823887</v>
      </c>
      <c r="N275" s="1">
        <v>16318199</v>
      </c>
      <c r="O275" s="4">
        <f t="shared" si="62"/>
        <v>26142086</v>
      </c>
      <c r="P275" s="1">
        <v>13041933</v>
      </c>
      <c r="Q275" s="4">
        <f t="shared" si="63"/>
        <v>39184019</v>
      </c>
      <c r="R275" s="1">
        <v>3934664</v>
      </c>
      <c r="S275" s="1">
        <v>7924243</v>
      </c>
      <c r="T275" s="4">
        <f t="shared" si="64"/>
        <v>11858907</v>
      </c>
      <c r="U275" s="1">
        <v>51042926</v>
      </c>
      <c r="V275" s="1">
        <v>2014</v>
      </c>
      <c r="W275" s="8">
        <v>32663224</v>
      </c>
      <c r="X275" s="1">
        <v>0.438</v>
      </c>
      <c r="Y275" s="1">
        <v>0</v>
      </c>
      <c r="Z275" s="1">
        <v>0</v>
      </c>
      <c r="AA275" s="1">
        <v>133000000</v>
      </c>
      <c r="AB275" s="1">
        <v>7.7278774436090228E-2</v>
      </c>
      <c r="AC275" s="1">
        <v>0.10492408270676691</v>
      </c>
      <c r="AD275" s="1">
        <v>7.7364375939849628E-2</v>
      </c>
      <c r="AE275" s="1">
        <v>2.9097947368421053E-2</v>
      </c>
      <c r="AF275" s="2">
        <f t="shared" si="65"/>
        <v>0.10646232330827068</v>
      </c>
      <c r="AG275" s="2">
        <f>AF275+AC275</f>
        <v>0.21138640601503761</v>
      </c>
      <c r="AH275" s="1">
        <v>0.18134557894736841</v>
      </c>
      <c r="AI275" s="2">
        <f t="shared" si="66"/>
        <v>0.28866518045112782</v>
      </c>
      <c r="AJ275" s="1">
        <v>7.3863812030075193E-2</v>
      </c>
      <c r="AK275" s="1">
        <v>0.12269322556390977</v>
      </c>
      <c r="AL275" s="4">
        <f t="shared" si="67"/>
        <v>0.19655703759398496</v>
      </c>
      <c r="AM275" s="1">
        <v>9.805964661654136E-2</v>
      </c>
      <c r="AN275" s="4">
        <f t="shared" si="68"/>
        <v>0.29461668421052634</v>
      </c>
      <c r="AO275" s="1">
        <v>2.9583939849624059E-2</v>
      </c>
      <c r="AP275" s="1">
        <v>5.9580774436090223E-2</v>
      </c>
      <c r="AQ275" s="4">
        <f t="shared" si="69"/>
        <v>8.9164714285714278E-2</v>
      </c>
      <c r="AR275" s="1">
        <v>0.3837813984962406</v>
      </c>
      <c r="AS275" s="1">
        <v>0.47001075939849624</v>
      </c>
      <c r="AT275" s="1">
        <v>0.14620784210526316</v>
      </c>
      <c r="AU275" s="1">
        <f t="shared" si="70"/>
        <v>0.24558815037593984</v>
      </c>
      <c r="AV275" s="1">
        <v>7</v>
      </c>
      <c r="AW275">
        <v>325</v>
      </c>
      <c r="AX275">
        <v>343</v>
      </c>
      <c r="AY275" s="6">
        <v>20</v>
      </c>
      <c r="AZ275" s="6">
        <v>11</v>
      </c>
      <c r="BA275" s="11">
        <f t="shared" si="71"/>
        <v>20.3125</v>
      </c>
      <c r="BB275">
        <f t="shared" si="72"/>
        <v>21.4375</v>
      </c>
      <c r="BC275">
        <f t="shared" si="73"/>
        <v>-18</v>
      </c>
      <c r="BD275">
        <f t="shared" si="74"/>
        <v>-1.125</v>
      </c>
      <c r="BE275" s="10">
        <v>7.5397211922483498</v>
      </c>
      <c r="BF275" s="6">
        <v>25.587299999999999</v>
      </c>
      <c r="BG275" s="6">
        <v>27.29993</v>
      </c>
      <c r="BH275" s="6">
        <v>0.57113899999999995</v>
      </c>
      <c r="BI275" s="6">
        <v>0.57142899999999996</v>
      </c>
      <c r="BJ275" s="6"/>
      <c r="BK275" s="6" t="s">
        <v>73</v>
      </c>
      <c r="BL275" s="6" t="s">
        <v>74</v>
      </c>
      <c r="BM275" s="6" t="s">
        <v>75</v>
      </c>
      <c r="BN275" s="6" t="s">
        <v>75</v>
      </c>
    </row>
    <row r="276" spans="1:66">
      <c r="A276" s="1" t="s">
        <v>386</v>
      </c>
      <c r="B276" s="1">
        <v>2014</v>
      </c>
      <c r="C276" s="1" t="s">
        <v>122</v>
      </c>
      <c r="D276" s="1">
        <v>15446036</v>
      </c>
      <c r="E276" s="1">
        <v>4537291</v>
      </c>
      <c r="F276" s="1">
        <v>13923556</v>
      </c>
      <c r="G276" s="1">
        <v>7369559</v>
      </c>
      <c r="H276" s="2">
        <f t="shared" si="60"/>
        <v>21293115</v>
      </c>
      <c r="I276" s="2">
        <f>H276+E276</f>
        <v>25830406</v>
      </c>
      <c r="J276" s="1">
        <v>15395126</v>
      </c>
      <c r="K276" s="2">
        <f t="shared" si="61"/>
        <v>41276442</v>
      </c>
      <c r="L276" s="1">
        <v>56671568</v>
      </c>
      <c r="M276" s="1">
        <v>10516902</v>
      </c>
      <c r="N276" s="1">
        <v>5631786</v>
      </c>
      <c r="O276" s="4">
        <f t="shared" si="62"/>
        <v>16148688</v>
      </c>
      <c r="P276" s="1">
        <v>12844605</v>
      </c>
      <c r="Q276" s="4">
        <f t="shared" si="63"/>
        <v>28993293</v>
      </c>
      <c r="R276" s="1">
        <v>8593385</v>
      </c>
      <c r="S276" s="1">
        <v>15181481</v>
      </c>
      <c r="T276" s="4">
        <f t="shared" si="64"/>
        <v>23774866</v>
      </c>
      <c r="U276" s="1">
        <v>52768159</v>
      </c>
      <c r="V276" s="1">
        <v>2014</v>
      </c>
      <c r="W276" s="8">
        <v>5231767</v>
      </c>
      <c r="X276" s="1">
        <v>0.75</v>
      </c>
      <c r="Y276" s="1">
        <v>1</v>
      </c>
      <c r="Z276" s="1">
        <v>1</v>
      </c>
      <c r="AA276" s="1">
        <v>133000000</v>
      </c>
      <c r="AB276" s="1">
        <v>0.11613560902255639</v>
      </c>
      <c r="AC276" s="1">
        <v>3.4114969924812028E-2</v>
      </c>
      <c r="AD276" s="1">
        <v>0.1046883909774436</v>
      </c>
      <c r="AE276" s="1">
        <v>5.5410218045112779E-2</v>
      </c>
      <c r="AF276" s="2">
        <f t="shared" si="65"/>
        <v>0.16009860902255638</v>
      </c>
      <c r="AG276" s="2">
        <f>AF276+AC276</f>
        <v>0.1942135789473684</v>
      </c>
      <c r="AH276" s="1">
        <v>0.11575282706766918</v>
      </c>
      <c r="AI276" s="2">
        <f t="shared" si="66"/>
        <v>0.31034918796992478</v>
      </c>
      <c r="AJ276" s="1">
        <v>7.9074451127819551E-2</v>
      </c>
      <c r="AK276" s="1">
        <v>4.2344255639097744E-2</v>
      </c>
      <c r="AL276" s="4">
        <f t="shared" si="67"/>
        <v>0.12141870676691729</v>
      </c>
      <c r="AM276" s="1">
        <v>9.6575977443609018E-2</v>
      </c>
      <c r="AN276" s="4">
        <f t="shared" si="68"/>
        <v>0.21799468421052631</v>
      </c>
      <c r="AO276" s="1">
        <v>6.4611917293233082E-2</v>
      </c>
      <c r="AP276" s="1">
        <v>0.11414647368421052</v>
      </c>
      <c r="AQ276" s="4">
        <f t="shared" si="69"/>
        <v>0.17875839097744362</v>
      </c>
      <c r="AR276" s="1">
        <v>0.39675307518796993</v>
      </c>
      <c r="AS276" s="1">
        <v>0.42610201503759398</v>
      </c>
      <c r="AT276" s="1">
        <v>0.17714490977443609</v>
      </c>
      <c r="AU276" s="1">
        <f t="shared" si="70"/>
        <v>3.9336593984962406E-2</v>
      </c>
      <c r="AV276" s="1">
        <v>12</v>
      </c>
      <c r="AW276">
        <v>468</v>
      </c>
      <c r="AX276">
        <v>313</v>
      </c>
      <c r="AY276" s="6">
        <v>4</v>
      </c>
      <c r="AZ276" s="6">
        <v>8</v>
      </c>
      <c r="BA276" s="11">
        <f t="shared" si="71"/>
        <v>29.25</v>
      </c>
      <c r="BB276">
        <f t="shared" si="72"/>
        <v>19.5625</v>
      </c>
      <c r="BC276">
        <f t="shared" si="73"/>
        <v>155</v>
      </c>
      <c r="BD276">
        <f t="shared" si="74"/>
        <v>9.6875</v>
      </c>
      <c r="BE276" s="10">
        <v>12.564206400055699</v>
      </c>
      <c r="BF276" s="6">
        <v>25.968250000000001</v>
      </c>
      <c r="BG276" s="6">
        <v>28.866250000000001</v>
      </c>
      <c r="BH276" s="6">
        <v>0.58079899999999995</v>
      </c>
      <c r="BI276" s="6">
        <v>0.63492099999999996</v>
      </c>
      <c r="BJ276" s="6"/>
      <c r="BK276" s="6" t="s">
        <v>67</v>
      </c>
      <c r="BL276" s="6" t="s">
        <v>74</v>
      </c>
      <c r="BM276" s="6" t="s">
        <v>102</v>
      </c>
      <c r="BN276" s="6" t="s">
        <v>70</v>
      </c>
    </row>
    <row r="277" spans="1:66">
      <c r="A277" s="1" t="s">
        <v>387</v>
      </c>
      <c r="B277" s="1">
        <v>2014</v>
      </c>
      <c r="C277" s="1" t="s">
        <v>124</v>
      </c>
      <c r="D277" s="1">
        <v>19064118</v>
      </c>
      <c r="E277" s="1">
        <v>5399617</v>
      </c>
      <c r="F277" s="1">
        <v>12178739</v>
      </c>
      <c r="G277" s="1">
        <v>6269241</v>
      </c>
      <c r="H277" s="2">
        <f t="shared" si="60"/>
        <v>18447980</v>
      </c>
      <c r="I277" s="2">
        <f>H277+E277</f>
        <v>23847597</v>
      </c>
      <c r="J277" s="1">
        <v>25334966</v>
      </c>
      <c r="K277" s="2">
        <f t="shared" si="61"/>
        <v>42911715</v>
      </c>
      <c r="L277" s="1">
        <v>68246681</v>
      </c>
      <c r="M277" s="1">
        <v>8932135</v>
      </c>
      <c r="N277" s="1">
        <v>5228215</v>
      </c>
      <c r="O277" s="4">
        <f t="shared" si="62"/>
        <v>14160350</v>
      </c>
      <c r="P277" s="1">
        <v>10041920</v>
      </c>
      <c r="Q277" s="4">
        <f t="shared" si="63"/>
        <v>24202270</v>
      </c>
      <c r="R277" s="1">
        <v>9017368</v>
      </c>
      <c r="S277" s="1">
        <v>8305918</v>
      </c>
      <c r="T277" s="4">
        <f t="shared" si="64"/>
        <v>17323286</v>
      </c>
      <c r="U277" s="1">
        <v>41525556</v>
      </c>
      <c r="V277" s="1">
        <v>2014</v>
      </c>
      <c r="W277" s="8">
        <v>13703053</v>
      </c>
      <c r="X277" s="1">
        <v>0.438</v>
      </c>
      <c r="Y277" s="1">
        <v>0</v>
      </c>
      <c r="Z277" s="1">
        <v>0</v>
      </c>
      <c r="AA277" s="1">
        <v>133000000</v>
      </c>
      <c r="AB277" s="1">
        <v>0.14333923308270677</v>
      </c>
      <c r="AC277" s="1">
        <v>4.0598624060150378E-2</v>
      </c>
      <c r="AD277" s="1">
        <v>9.1569466165413532E-2</v>
      </c>
      <c r="AE277" s="1">
        <v>4.7137150375939851E-2</v>
      </c>
      <c r="AF277" s="2">
        <f t="shared" si="65"/>
        <v>0.13870661654135338</v>
      </c>
      <c r="AG277" s="2">
        <f>AF277+AC277</f>
        <v>0.17930524060150377</v>
      </c>
      <c r="AH277" s="1">
        <v>0.19048846616541354</v>
      </c>
      <c r="AI277" s="2">
        <f t="shared" si="66"/>
        <v>0.32264447368421051</v>
      </c>
      <c r="AJ277" s="1">
        <v>6.7158909774436087E-2</v>
      </c>
      <c r="AK277" s="1">
        <v>3.9309887218045111E-2</v>
      </c>
      <c r="AL277" s="4">
        <f t="shared" si="67"/>
        <v>0.1064687969924812</v>
      </c>
      <c r="AM277" s="1">
        <v>7.5503157894736841E-2</v>
      </c>
      <c r="AN277" s="4">
        <f t="shared" si="68"/>
        <v>0.18197195488721804</v>
      </c>
      <c r="AO277" s="1">
        <v>6.7799759398496237E-2</v>
      </c>
      <c r="AP277" s="1">
        <v>6.2450511278195488E-2</v>
      </c>
      <c r="AQ277" s="4">
        <f t="shared" si="69"/>
        <v>0.13025027067669173</v>
      </c>
      <c r="AR277" s="1">
        <v>0.31222222556390977</v>
      </c>
      <c r="AS277" s="1">
        <v>0.51313293984962405</v>
      </c>
      <c r="AT277" s="1">
        <v>0.17464483458646618</v>
      </c>
      <c r="AU277" s="1">
        <f t="shared" si="70"/>
        <v>0.10303047368421053</v>
      </c>
      <c r="AV277" s="1">
        <v>7</v>
      </c>
      <c r="AW277">
        <v>401</v>
      </c>
      <c r="AX277">
        <v>424</v>
      </c>
      <c r="AY277" s="6">
        <v>9</v>
      </c>
      <c r="AZ277" s="6">
        <v>28</v>
      </c>
      <c r="BA277" s="11">
        <f t="shared" si="71"/>
        <v>25.0625</v>
      </c>
      <c r="BB277">
        <f t="shared" si="72"/>
        <v>26.5</v>
      </c>
      <c r="BC277">
        <f t="shared" si="73"/>
        <v>-23</v>
      </c>
      <c r="BD277">
        <f t="shared" si="74"/>
        <v>-1.4375</v>
      </c>
      <c r="BE277" s="10">
        <v>7.3945048567625902</v>
      </c>
      <c r="BF277" s="6">
        <v>26.5</v>
      </c>
      <c r="BG277" s="6">
        <v>29.332909999999998</v>
      </c>
      <c r="BH277" s="6">
        <v>0.63784399999999997</v>
      </c>
      <c r="BI277" s="6">
        <v>0.62121199999999999</v>
      </c>
      <c r="BJ277" s="6"/>
      <c r="BK277" s="6" t="s">
        <v>67</v>
      </c>
      <c r="BL277" s="6" t="s">
        <v>96</v>
      </c>
      <c r="BM277" s="6" t="s">
        <v>70</v>
      </c>
      <c r="BN277" s="6" t="s">
        <v>70</v>
      </c>
    </row>
    <row r="278" spans="1:66">
      <c r="A278" s="1" t="s">
        <v>388</v>
      </c>
      <c r="B278" s="1">
        <v>2014</v>
      </c>
      <c r="C278" s="1" t="s">
        <v>126</v>
      </c>
      <c r="D278" s="1">
        <v>21008400</v>
      </c>
      <c r="E278" s="1">
        <v>5120134</v>
      </c>
      <c r="F278" s="1">
        <v>12922572</v>
      </c>
      <c r="G278" s="1">
        <v>2083825</v>
      </c>
      <c r="H278" s="2">
        <f t="shared" si="60"/>
        <v>15006397</v>
      </c>
      <c r="I278" s="2">
        <f>H278+E278</f>
        <v>20126531</v>
      </c>
      <c r="J278" s="1">
        <v>19002962</v>
      </c>
      <c r="K278" s="2">
        <f t="shared" si="61"/>
        <v>41134931</v>
      </c>
      <c r="L278" s="1">
        <v>60137893</v>
      </c>
      <c r="M278" s="1">
        <v>6171260</v>
      </c>
      <c r="N278" s="1">
        <v>6942313</v>
      </c>
      <c r="O278" s="4">
        <f t="shared" si="62"/>
        <v>13113573</v>
      </c>
      <c r="P278" s="1">
        <v>14546482</v>
      </c>
      <c r="Q278" s="4">
        <f t="shared" si="63"/>
        <v>27660055</v>
      </c>
      <c r="R278" s="1">
        <v>14367378</v>
      </c>
      <c r="S278" s="1">
        <v>11998314</v>
      </c>
      <c r="T278" s="4">
        <f t="shared" si="64"/>
        <v>26365692</v>
      </c>
      <c r="U278" s="1">
        <v>54025747</v>
      </c>
      <c r="V278" s="1">
        <v>2014</v>
      </c>
      <c r="W278" s="8">
        <v>34046962</v>
      </c>
      <c r="X278" s="1">
        <v>0.375</v>
      </c>
      <c r="Y278" s="1">
        <v>0</v>
      </c>
      <c r="Z278" s="1">
        <v>0</v>
      </c>
      <c r="AA278" s="1">
        <v>133000000</v>
      </c>
      <c r="AB278" s="1">
        <v>0.1579578947368421</v>
      </c>
      <c r="AC278" s="1">
        <v>3.8497248120300753E-2</v>
      </c>
      <c r="AD278" s="1">
        <v>9.7162195488721806E-2</v>
      </c>
      <c r="AE278" s="1">
        <v>1.5667857142857143E-2</v>
      </c>
      <c r="AF278" s="2">
        <f t="shared" si="65"/>
        <v>0.11283005263157894</v>
      </c>
      <c r="AG278" s="2">
        <f>AF278+AC278</f>
        <v>0.1513273007518797</v>
      </c>
      <c r="AH278" s="1">
        <v>0.1428794135338346</v>
      </c>
      <c r="AI278" s="2">
        <f t="shared" si="66"/>
        <v>0.3092851954887218</v>
      </c>
      <c r="AJ278" s="1">
        <v>4.6400451127819549E-2</v>
      </c>
      <c r="AK278" s="1">
        <v>5.2197842105263161E-2</v>
      </c>
      <c r="AL278" s="4">
        <f t="shared" si="67"/>
        <v>9.8598293233082709E-2</v>
      </c>
      <c r="AM278" s="1">
        <v>0.10937204511278195</v>
      </c>
      <c r="AN278" s="4">
        <f t="shared" si="68"/>
        <v>0.20797033834586465</v>
      </c>
      <c r="AO278" s="1">
        <v>0.1080253984962406</v>
      </c>
      <c r="AP278" s="1">
        <v>9.0212887218045115E-2</v>
      </c>
      <c r="AQ278" s="4">
        <f t="shared" si="69"/>
        <v>0.1982382857142857</v>
      </c>
      <c r="AR278" s="1">
        <v>0.4062086240601504</v>
      </c>
      <c r="AS278" s="1">
        <v>0.4521646090225564</v>
      </c>
      <c r="AT278" s="1">
        <v>0.14162676691729326</v>
      </c>
      <c r="AU278" s="1">
        <f t="shared" si="70"/>
        <v>0.25599219548872182</v>
      </c>
      <c r="AV278" s="1">
        <v>6</v>
      </c>
      <c r="AW278">
        <v>380</v>
      </c>
      <c r="AX278">
        <v>400</v>
      </c>
      <c r="AY278" s="6">
        <v>13</v>
      </c>
      <c r="AZ278" s="6">
        <v>22</v>
      </c>
      <c r="BA278" s="11">
        <f t="shared" si="71"/>
        <v>23.75</v>
      </c>
      <c r="BB278">
        <f t="shared" si="72"/>
        <v>25</v>
      </c>
      <c r="BC278">
        <f t="shared" si="73"/>
        <v>-20</v>
      </c>
      <c r="BD278">
        <f t="shared" si="74"/>
        <v>-1.25</v>
      </c>
      <c r="BE278" s="10">
        <v>7.48163465805405</v>
      </c>
      <c r="BF278" s="6">
        <v>26.55405</v>
      </c>
      <c r="BG278" s="6">
        <v>28.776319999999998</v>
      </c>
      <c r="BH278" s="6">
        <v>0.60961399999999999</v>
      </c>
      <c r="BI278" s="6">
        <v>0.5</v>
      </c>
      <c r="BJ278" s="6"/>
      <c r="BK278" s="6" t="s">
        <v>67</v>
      </c>
      <c r="BL278" s="6" t="s">
        <v>68</v>
      </c>
      <c r="BM278" s="6" t="s">
        <v>69</v>
      </c>
      <c r="BN278" s="6" t="s">
        <v>70</v>
      </c>
    </row>
    <row r="279" spans="1:66">
      <c r="A279" s="1" t="s">
        <v>389</v>
      </c>
      <c r="B279" s="1">
        <v>2014</v>
      </c>
      <c r="C279" s="1" t="s">
        <v>128</v>
      </c>
      <c r="D279" s="1">
        <v>5402878</v>
      </c>
      <c r="E279" s="1">
        <v>6138225</v>
      </c>
      <c r="F279" s="1">
        <v>15118083</v>
      </c>
      <c r="G279" s="1">
        <v>3321133</v>
      </c>
      <c r="H279" s="2">
        <f t="shared" si="60"/>
        <v>18439216</v>
      </c>
      <c r="I279" s="2">
        <f>H279+E279</f>
        <v>24577441</v>
      </c>
      <c r="J279" s="1">
        <v>27006154</v>
      </c>
      <c r="K279" s="2">
        <f t="shared" si="61"/>
        <v>29980319</v>
      </c>
      <c r="L279" s="1">
        <v>56986473</v>
      </c>
      <c r="M279" s="1">
        <v>7501734</v>
      </c>
      <c r="N279" s="1">
        <v>7897645</v>
      </c>
      <c r="O279" s="4">
        <f t="shared" si="62"/>
        <v>15399379</v>
      </c>
      <c r="P279" s="1">
        <v>9264790</v>
      </c>
      <c r="Q279" s="4">
        <f t="shared" si="63"/>
        <v>24664169</v>
      </c>
      <c r="R279" s="1">
        <v>4571367</v>
      </c>
      <c r="S279" s="1">
        <v>7604495</v>
      </c>
      <c r="T279" s="4">
        <f t="shared" si="64"/>
        <v>12175862</v>
      </c>
      <c r="U279" s="1">
        <v>36840031</v>
      </c>
      <c r="V279" s="1">
        <v>2014</v>
      </c>
      <c r="W279" s="8">
        <v>5903538</v>
      </c>
      <c r="X279" s="1">
        <v>0.25</v>
      </c>
      <c r="Y279" s="1">
        <v>0</v>
      </c>
      <c r="Z279" s="1">
        <v>0</v>
      </c>
      <c r="AA279" s="1">
        <v>133000000</v>
      </c>
      <c r="AB279" s="1">
        <v>4.0623142857142858E-2</v>
      </c>
      <c r="AC279" s="1">
        <v>4.615206766917293E-2</v>
      </c>
      <c r="AD279" s="1">
        <v>0.1136697969924812</v>
      </c>
      <c r="AE279" s="1">
        <v>2.4970924812030074E-2</v>
      </c>
      <c r="AF279" s="2">
        <f t="shared" si="65"/>
        <v>0.13864072180451126</v>
      </c>
      <c r="AG279" s="2">
        <f>AF279+AC279</f>
        <v>0.18479278947368419</v>
      </c>
      <c r="AH279" s="1">
        <v>0.20305378947368422</v>
      </c>
      <c r="AI279" s="2">
        <f t="shared" si="66"/>
        <v>0.22541593233082707</v>
      </c>
      <c r="AJ279" s="1">
        <v>5.6404015037593985E-2</v>
      </c>
      <c r="AK279" s="1">
        <v>5.9380789473684213E-2</v>
      </c>
      <c r="AL279" s="4">
        <f t="shared" si="67"/>
        <v>0.11578480451127821</v>
      </c>
      <c r="AM279" s="1">
        <v>6.9660075187969919E-2</v>
      </c>
      <c r="AN279" s="4">
        <f t="shared" si="68"/>
        <v>0.18544487969924811</v>
      </c>
      <c r="AO279" s="1">
        <v>3.4371180451127817E-2</v>
      </c>
      <c r="AP279" s="1">
        <v>5.7176654135338345E-2</v>
      </c>
      <c r="AQ279" s="4">
        <f t="shared" si="69"/>
        <v>9.1547834586466162E-2</v>
      </c>
      <c r="AR279" s="1">
        <v>0.27699271428571426</v>
      </c>
      <c r="AS279" s="1">
        <v>0.42846972180451126</v>
      </c>
      <c r="AT279" s="1">
        <v>0.29453756390977448</v>
      </c>
      <c r="AU279" s="1">
        <f t="shared" si="70"/>
        <v>4.4387503759398497E-2</v>
      </c>
      <c r="AV279" s="1">
        <v>4</v>
      </c>
      <c r="AW279">
        <v>283</v>
      </c>
      <c r="AX279">
        <v>401</v>
      </c>
      <c r="AY279" s="6">
        <v>28</v>
      </c>
      <c r="AZ279" s="6">
        <v>24</v>
      </c>
      <c r="BA279" s="11">
        <f t="shared" si="71"/>
        <v>17.6875</v>
      </c>
      <c r="BB279">
        <f t="shared" si="72"/>
        <v>25.0625</v>
      </c>
      <c r="BC279">
        <f t="shared" si="73"/>
        <v>-118</v>
      </c>
      <c r="BD279">
        <f t="shared" si="74"/>
        <v>-7.375</v>
      </c>
      <c r="BE279" s="10">
        <v>4.6353944825331101</v>
      </c>
      <c r="BF279" s="6">
        <v>26</v>
      </c>
      <c r="BG279" s="6">
        <v>27.96144</v>
      </c>
      <c r="BH279" s="6">
        <v>0.55090799999999995</v>
      </c>
      <c r="BI279" s="6">
        <v>0.60655700000000001</v>
      </c>
      <c r="BJ279" s="6"/>
      <c r="BK279" s="6" t="s">
        <v>80</v>
      </c>
      <c r="BL279" s="6" t="s">
        <v>74</v>
      </c>
      <c r="BM279" s="6" t="s">
        <v>81</v>
      </c>
      <c r="BN279" s="6" t="s">
        <v>75</v>
      </c>
    </row>
    <row r="280" spans="1:66">
      <c r="A280" s="1" t="s">
        <v>390</v>
      </c>
      <c r="B280" s="1">
        <v>2014</v>
      </c>
      <c r="C280" s="1" t="s">
        <v>112</v>
      </c>
      <c r="D280" s="1">
        <v>9471691</v>
      </c>
      <c r="E280" s="1">
        <v>6996329</v>
      </c>
      <c r="F280" s="1">
        <v>9015614</v>
      </c>
      <c r="G280" s="1">
        <v>1400205</v>
      </c>
      <c r="H280" s="2">
        <f>SUM(F280:G280)</f>
        <v>10415819</v>
      </c>
      <c r="I280" s="2">
        <f>H280+E280</f>
        <v>17412148</v>
      </c>
      <c r="J280" s="1">
        <v>17354097</v>
      </c>
      <c r="K280" s="2">
        <f>SUM(D280:G280)</f>
        <v>26883839</v>
      </c>
      <c r="L280" s="1">
        <v>44237936</v>
      </c>
      <c r="M280" s="1">
        <v>8198430</v>
      </c>
      <c r="N280" s="1">
        <v>14641333</v>
      </c>
      <c r="O280" s="4">
        <f>SUM(M280:N280)</f>
        <v>22839763</v>
      </c>
      <c r="P280" s="1">
        <v>5264934</v>
      </c>
      <c r="Q280" s="4">
        <f>SUM(O280:P280)</f>
        <v>28104697</v>
      </c>
      <c r="R280" s="1">
        <v>13433828</v>
      </c>
      <c r="S280" s="1">
        <v>11631671</v>
      </c>
      <c r="T280" s="4">
        <f>SUM(R280:S280)</f>
        <v>25065499</v>
      </c>
      <c r="U280" s="1">
        <v>53170196</v>
      </c>
      <c r="V280" s="1">
        <v>2014</v>
      </c>
      <c r="W280" s="8">
        <v>28068861</v>
      </c>
      <c r="X280" s="1">
        <v>0.188</v>
      </c>
      <c r="Y280" s="1">
        <v>0</v>
      </c>
      <c r="Z280" s="1">
        <v>0</v>
      </c>
      <c r="AA280" s="1">
        <v>133000000</v>
      </c>
      <c r="AB280" s="1">
        <v>7.1215721804511273E-2</v>
      </c>
      <c r="AC280" s="1">
        <v>5.2603977443609021E-2</v>
      </c>
      <c r="AD280" s="1">
        <v>6.7786571428571432E-2</v>
      </c>
      <c r="AE280" s="1">
        <v>1.0527857142857143E-2</v>
      </c>
      <c r="AF280" s="2">
        <f>SUM(AD280:AE280)</f>
        <v>7.8314428571428576E-2</v>
      </c>
      <c r="AG280" s="2">
        <f>AF280+AC280</f>
        <v>0.1309184060150376</v>
      </c>
      <c r="AH280" s="1">
        <v>0.13048193233082706</v>
      </c>
      <c r="AI280" s="2">
        <f>SUM(AB280:AE280)</f>
        <v>0.20213412781954887</v>
      </c>
      <c r="AJ280" s="1">
        <v>6.1642330827067666E-2</v>
      </c>
      <c r="AK280" s="1">
        <v>0.11008521052631579</v>
      </c>
      <c r="AL280" s="4">
        <f>SUM(AJ280:AK280)</f>
        <v>0.17172754135338344</v>
      </c>
      <c r="AM280" s="1">
        <v>3.9585969924812031E-2</v>
      </c>
      <c r="AN280" s="4">
        <f>SUM(AL280:AM280)</f>
        <v>0.21131351127819548</v>
      </c>
      <c r="AO280" s="1">
        <v>0.10100622556390977</v>
      </c>
      <c r="AP280" s="1">
        <v>8.7456172932330822E-2</v>
      </c>
      <c r="AQ280" s="4">
        <f>SUM(AO280:AP280)</f>
        <v>0.18846239849624058</v>
      </c>
      <c r="AR280" s="1">
        <v>0.39977590977443611</v>
      </c>
      <c r="AS280" s="1">
        <v>0.33261606015037593</v>
      </c>
      <c r="AT280" s="1">
        <v>0.26760803007518796</v>
      </c>
      <c r="AU280" s="1">
        <f t="shared" si="70"/>
        <v>0.21104406766917294</v>
      </c>
      <c r="AV280" s="1">
        <v>3</v>
      </c>
      <c r="AW280">
        <v>253</v>
      </c>
      <c r="AX280">
        <v>452</v>
      </c>
      <c r="AY280" s="6">
        <v>31</v>
      </c>
      <c r="AZ280" s="6">
        <v>32</v>
      </c>
      <c r="BA280" s="11">
        <f t="shared" si="71"/>
        <v>15.8125</v>
      </c>
      <c r="BB280">
        <f t="shared" si="72"/>
        <v>28.25</v>
      </c>
      <c r="BC280">
        <f t="shared" si="73"/>
        <v>-199</v>
      </c>
      <c r="BD280">
        <f t="shared" si="74"/>
        <v>-12.4375</v>
      </c>
      <c r="BE280" s="10">
        <v>2.28288984766376</v>
      </c>
      <c r="BF280" s="6">
        <v>26.64706</v>
      </c>
      <c r="BG280" s="6">
        <v>29.168520000000001</v>
      </c>
      <c r="BH280" s="6">
        <v>0.55687699999999996</v>
      </c>
      <c r="BI280" s="6">
        <v>0.5</v>
      </c>
      <c r="BJ280" s="6"/>
      <c r="BK280" s="6" t="s">
        <v>67</v>
      </c>
      <c r="BL280" s="6" t="s">
        <v>74</v>
      </c>
      <c r="BM280" s="6" t="s">
        <v>102</v>
      </c>
      <c r="BN280" s="6" t="s">
        <v>70</v>
      </c>
    </row>
    <row r="281" spans="1:66">
      <c r="A281" s="1" t="s">
        <v>391</v>
      </c>
      <c r="B281" s="1">
        <v>2014</v>
      </c>
      <c r="C281" s="1" t="s">
        <v>130</v>
      </c>
      <c r="D281" s="1">
        <v>3772237</v>
      </c>
      <c r="E281" s="1">
        <v>16415834</v>
      </c>
      <c r="F281" s="1">
        <v>10693053</v>
      </c>
      <c r="G281" s="1">
        <v>5720045</v>
      </c>
      <c r="H281" s="2">
        <f t="shared" si="60"/>
        <v>16413098</v>
      </c>
      <c r="I281" s="2">
        <f>H281+E281</f>
        <v>32828932</v>
      </c>
      <c r="J281" s="1">
        <v>29339566</v>
      </c>
      <c r="K281" s="2">
        <f t="shared" si="61"/>
        <v>36601169</v>
      </c>
      <c r="L281" s="1">
        <v>65940735</v>
      </c>
      <c r="M281" s="1">
        <v>6088275</v>
      </c>
      <c r="N281" s="1">
        <v>17791018</v>
      </c>
      <c r="O281" s="4">
        <f t="shared" si="62"/>
        <v>23879293</v>
      </c>
      <c r="P281" s="1">
        <v>10285319</v>
      </c>
      <c r="Q281" s="4">
        <f t="shared" si="63"/>
        <v>34164612</v>
      </c>
      <c r="R281" s="1">
        <v>7603608</v>
      </c>
      <c r="S281" s="1">
        <v>13632290</v>
      </c>
      <c r="T281" s="4">
        <f t="shared" si="64"/>
        <v>21235898</v>
      </c>
      <c r="U281" s="1">
        <v>55400510</v>
      </c>
      <c r="V281" s="1">
        <v>2014</v>
      </c>
      <c r="W281" s="8">
        <v>6940195</v>
      </c>
      <c r="X281" s="1">
        <v>0.625</v>
      </c>
      <c r="Y281" s="1">
        <v>0</v>
      </c>
      <c r="Z281" s="1">
        <v>0</v>
      </c>
      <c r="AA281" s="1">
        <v>133000000</v>
      </c>
      <c r="AB281" s="1">
        <v>2.8362684210526314E-2</v>
      </c>
      <c r="AC281" s="1">
        <v>0.12342732330827068</v>
      </c>
      <c r="AD281" s="1">
        <v>8.03988947368421E-2</v>
      </c>
      <c r="AE281" s="1">
        <v>4.3007857142857146E-2</v>
      </c>
      <c r="AF281" s="2">
        <f t="shared" si="65"/>
        <v>0.12340675187969924</v>
      </c>
      <c r="AG281" s="2">
        <f>AF281+AC281</f>
        <v>0.2468340751879699</v>
      </c>
      <c r="AH281" s="1">
        <v>0.22059824060150376</v>
      </c>
      <c r="AI281" s="2">
        <f t="shared" si="66"/>
        <v>0.27519675939849625</v>
      </c>
      <c r="AJ281" s="1">
        <v>4.5776503759398499E-2</v>
      </c>
      <c r="AK281" s="1">
        <v>0.13376705263157895</v>
      </c>
      <c r="AL281" s="4">
        <f t="shared" si="67"/>
        <v>0.17954355639097747</v>
      </c>
      <c r="AM281" s="1">
        <v>7.7333225563909772E-2</v>
      </c>
      <c r="AN281" s="4">
        <f t="shared" si="68"/>
        <v>0.25687678195488722</v>
      </c>
      <c r="AO281" s="1">
        <v>5.7169984962406016E-2</v>
      </c>
      <c r="AP281" s="1">
        <v>0.10249842105263159</v>
      </c>
      <c r="AQ281" s="4">
        <f t="shared" si="69"/>
        <v>0.1596684060150376</v>
      </c>
      <c r="AR281" s="1">
        <v>0.41654518796992479</v>
      </c>
      <c r="AS281" s="1">
        <v>0.49579499999999999</v>
      </c>
      <c r="AT281" s="1">
        <v>8.7659812030075224E-2</v>
      </c>
      <c r="AU281" s="1">
        <f t="shared" si="70"/>
        <v>5.2181917293233085E-2</v>
      </c>
      <c r="AV281" s="1">
        <v>10</v>
      </c>
      <c r="AW281">
        <v>474</v>
      </c>
      <c r="AX281">
        <v>400</v>
      </c>
      <c r="AY281" s="6">
        <v>3</v>
      </c>
      <c r="AZ281" s="6">
        <v>22</v>
      </c>
      <c r="BA281" s="11">
        <f t="shared" si="71"/>
        <v>29.625</v>
      </c>
      <c r="BB281">
        <f t="shared" si="72"/>
        <v>25</v>
      </c>
      <c r="BC281">
        <f t="shared" si="73"/>
        <v>74</v>
      </c>
      <c r="BD281">
        <f t="shared" si="74"/>
        <v>4.625</v>
      </c>
      <c r="BE281" s="10">
        <v>10.211701765186399</v>
      </c>
      <c r="BF281" s="6">
        <v>26.55932</v>
      </c>
      <c r="BG281" s="6">
        <v>28.164719999999999</v>
      </c>
      <c r="BH281" s="6">
        <v>0.52368199999999998</v>
      </c>
      <c r="BI281" s="6">
        <v>0.64406799999999997</v>
      </c>
      <c r="BJ281" s="6"/>
      <c r="BK281" s="6" t="s">
        <v>80</v>
      </c>
      <c r="BL281" s="6" t="s">
        <v>74</v>
      </c>
      <c r="BM281" s="6" t="s">
        <v>81</v>
      </c>
      <c r="BN281" s="6" t="s">
        <v>75</v>
      </c>
    </row>
    <row r="282" spans="1:66">
      <c r="A282" s="1" t="s">
        <v>392</v>
      </c>
      <c r="B282" s="1">
        <v>2014</v>
      </c>
      <c r="C282" s="1" t="s">
        <v>132</v>
      </c>
      <c r="D282" s="1">
        <v>21333138</v>
      </c>
      <c r="E282" s="1">
        <v>1669039</v>
      </c>
      <c r="F282" s="1">
        <v>7942649</v>
      </c>
      <c r="G282" s="1">
        <v>7847766</v>
      </c>
      <c r="H282" s="2">
        <f t="shared" si="60"/>
        <v>15790415</v>
      </c>
      <c r="I282" s="2">
        <f>H282+E282</f>
        <v>17459454</v>
      </c>
      <c r="J282" s="1">
        <v>14731514</v>
      </c>
      <c r="K282" s="2">
        <f t="shared" si="61"/>
        <v>38792592</v>
      </c>
      <c r="L282" s="1">
        <v>53524106</v>
      </c>
      <c r="M282" s="1">
        <v>9360367</v>
      </c>
      <c r="N282" s="1">
        <v>13428435</v>
      </c>
      <c r="O282" s="4">
        <f t="shared" si="62"/>
        <v>22788802</v>
      </c>
      <c r="P282" s="1">
        <v>15222160</v>
      </c>
      <c r="Q282" s="4">
        <f t="shared" si="63"/>
        <v>38010962</v>
      </c>
      <c r="R282" s="1">
        <v>10751868</v>
      </c>
      <c r="S282" s="1">
        <v>13352245</v>
      </c>
      <c r="T282" s="4">
        <f t="shared" si="64"/>
        <v>24104113</v>
      </c>
      <c r="U282" s="1">
        <v>62115075</v>
      </c>
      <c r="V282" s="1">
        <v>2014</v>
      </c>
      <c r="W282" s="8">
        <v>3980088</v>
      </c>
      <c r="X282" s="1">
        <v>0.68799999999999994</v>
      </c>
      <c r="Y282" s="1">
        <v>1</v>
      </c>
      <c r="Z282" s="1">
        <v>0</v>
      </c>
      <c r="AA282" s="1">
        <v>133000000</v>
      </c>
      <c r="AB282" s="1">
        <v>0.16039953383458647</v>
      </c>
      <c r="AC282" s="1">
        <v>1.2549165413533835E-2</v>
      </c>
      <c r="AD282" s="1">
        <v>5.9719165413533837E-2</v>
      </c>
      <c r="AE282" s="1">
        <v>5.9005759398496241E-2</v>
      </c>
      <c r="AF282" s="2">
        <f t="shared" si="65"/>
        <v>0.11872492481203008</v>
      </c>
      <c r="AG282" s="2">
        <f>AF282+AC282</f>
        <v>0.13127409022556391</v>
      </c>
      <c r="AH282" s="1">
        <v>0.11076326315789474</v>
      </c>
      <c r="AI282" s="2">
        <f t="shared" si="66"/>
        <v>0.2916736240601504</v>
      </c>
      <c r="AJ282" s="1">
        <v>7.0378699248120305E-2</v>
      </c>
      <c r="AK282" s="1">
        <v>0.10096567669172932</v>
      </c>
      <c r="AL282" s="4">
        <f t="shared" si="67"/>
        <v>0.17134437593984964</v>
      </c>
      <c r="AM282" s="1">
        <v>0.11445233082706767</v>
      </c>
      <c r="AN282" s="4">
        <f t="shared" si="68"/>
        <v>0.28579670676691732</v>
      </c>
      <c r="AO282" s="1">
        <v>8.0841112781954882E-2</v>
      </c>
      <c r="AP282" s="1">
        <v>0.10039281954887218</v>
      </c>
      <c r="AQ282" s="4">
        <f t="shared" si="69"/>
        <v>0.18123393233082707</v>
      </c>
      <c r="AR282" s="1">
        <v>0.46703063909774434</v>
      </c>
      <c r="AS282" s="1">
        <v>0.4024368872180451</v>
      </c>
      <c r="AT282" s="1">
        <v>0.13053247368421061</v>
      </c>
      <c r="AU282" s="1">
        <f t="shared" si="70"/>
        <v>2.9925473684210526E-2</v>
      </c>
      <c r="AV282" s="1">
        <v>11</v>
      </c>
      <c r="AW282">
        <v>436</v>
      </c>
      <c r="AX282">
        <v>368</v>
      </c>
      <c r="AY282" s="6">
        <v>7</v>
      </c>
      <c r="AZ282" s="6">
        <v>18</v>
      </c>
      <c r="BA282" s="11">
        <f t="shared" si="71"/>
        <v>27.25</v>
      </c>
      <c r="BB282">
        <f t="shared" si="72"/>
        <v>23</v>
      </c>
      <c r="BC282">
        <f t="shared" si="73"/>
        <v>68</v>
      </c>
      <c r="BD282">
        <f t="shared" si="74"/>
        <v>4.25</v>
      </c>
      <c r="BE282" s="10">
        <v>10.037442162603501</v>
      </c>
      <c r="BF282" s="6">
        <v>26.754390000000001</v>
      </c>
      <c r="BG282" s="6">
        <v>28.669989999999999</v>
      </c>
      <c r="BH282" s="6">
        <v>0.60815699999999995</v>
      </c>
      <c r="BI282" s="6">
        <v>0.631579</v>
      </c>
      <c r="BJ282" s="6"/>
      <c r="BK282" s="6" t="s">
        <v>67</v>
      </c>
      <c r="BL282" s="6" t="s">
        <v>68</v>
      </c>
      <c r="BM282" s="6" t="s">
        <v>69</v>
      </c>
      <c r="BN282" s="6" t="s">
        <v>70</v>
      </c>
    </row>
    <row r="283" spans="1:66">
      <c r="A283" s="1" t="s">
        <v>393</v>
      </c>
      <c r="B283" s="1">
        <v>2014</v>
      </c>
      <c r="C283" s="1" t="s">
        <v>114</v>
      </c>
      <c r="D283" s="1">
        <v>17856766</v>
      </c>
      <c r="E283" s="1">
        <v>8605886</v>
      </c>
      <c r="F283" s="1">
        <v>10851816</v>
      </c>
      <c r="G283" s="1">
        <v>9315091</v>
      </c>
      <c r="H283" s="2">
        <f>SUM(F283:G283)</f>
        <v>20166907</v>
      </c>
      <c r="I283" s="2">
        <f>H283+E283</f>
        <v>28772793</v>
      </c>
      <c r="J283" s="1">
        <v>19973727</v>
      </c>
      <c r="K283" s="2">
        <f>SUM(D283:G283)</f>
        <v>46629559</v>
      </c>
      <c r="L283" s="1">
        <v>66603286</v>
      </c>
      <c r="M283" s="1">
        <v>7275737</v>
      </c>
      <c r="N283" s="1">
        <v>12045271</v>
      </c>
      <c r="O283" s="4">
        <f>SUM(M283:N283)</f>
        <v>19321008</v>
      </c>
      <c r="P283" s="1">
        <v>6024227</v>
      </c>
      <c r="Q283" s="4">
        <f>SUM(O283:P283)</f>
        <v>25345235</v>
      </c>
      <c r="R283" s="1">
        <v>13044216</v>
      </c>
      <c r="S283" s="1">
        <v>6186511</v>
      </c>
      <c r="T283" s="4">
        <f>SUM(R283:S283)</f>
        <v>19230727</v>
      </c>
      <c r="U283" s="1">
        <v>44575962</v>
      </c>
      <c r="V283" s="1">
        <v>2014</v>
      </c>
      <c r="W283" s="8">
        <v>22384694</v>
      </c>
      <c r="X283" s="1">
        <v>0.56299999999999994</v>
      </c>
      <c r="Y283" s="1">
        <v>0</v>
      </c>
      <c r="Z283" s="1">
        <v>0</v>
      </c>
      <c r="AA283" s="1">
        <v>133000000</v>
      </c>
      <c r="AB283" s="1">
        <v>0.13426139849624061</v>
      </c>
      <c r="AC283" s="1">
        <v>6.4705909774436091E-2</v>
      </c>
      <c r="AD283" s="1">
        <v>8.1592601503759396E-2</v>
      </c>
      <c r="AE283" s="1">
        <v>7.0038278195488718E-2</v>
      </c>
      <c r="AF283" s="2">
        <f>SUM(AD283:AE283)</f>
        <v>0.1516308796992481</v>
      </c>
      <c r="AG283" s="2">
        <f>AF283+AC283</f>
        <v>0.21633678947368418</v>
      </c>
      <c r="AH283" s="1">
        <v>0.15017839849624059</v>
      </c>
      <c r="AI283" s="2">
        <f>SUM(AB283:AE283)</f>
        <v>0.35059818796992481</v>
      </c>
      <c r="AJ283" s="1">
        <v>5.4704789473684214E-2</v>
      </c>
      <c r="AK283" s="1">
        <v>9.0565947368421051E-2</v>
      </c>
      <c r="AL283" s="4">
        <f>SUM(AJ283:AK283)</f>
        <v>0.14527073684210526</v>
      </c>
      <c r="AM283" s="1">
        <v>4.5294939849624058E-2</v>
      </c>
      <c r="AN283" s="4">
        <f>SUM(AL283:AM283)</f>
        <v>0.1905656766917293</v>
      </c>
      <c r="AO283" s="1">
        <v>9.8076812030075192E-2</v>
      </c>
      <c r="AP283" s="1">
        <v>4.6515120300751882E-2</v>
      </c>
      <c r="AQ283" s="4">
        <f>SUM(AO283:AP283)</f>
        <v>0.14459193233082707</v>
      </c>
      <c r="AR283" s="1">
        <v>0.33515760902255637</v>
      </c>
      <c r="AS283" s="1">
        <v>0.50077658646616541</v>
      </c>
      <c r="AT283" s="1">
        <v>0.16406580451127817</v>
      </c>
      <c r="AU283" s="1">
        <f t="shared" si="70"/>
        <v>0.16830596992481203</v>
      </c>
      <c r="AV283" s="1">
        <v>9</v>
      </c>
      <c r="AW283">
        <v>348</v>
      </c>
      <c r="AX283">
        <v>348</v>
      </c>
      <c r="AY283" s="6">
        <v>17</v>
      </c>
      <c r="AZ283" s="6">
        <v>13</v>
      </c>
      <c r="BA283" s="11">
        <f t="shared" si="71"/>
        <v>21.75</v>
      </c>
      <c r="BB283">
        <f t="shared" si="72"/>
        <v>21.75</v>
      </c>
      <c r="BC283">
        <f t="shared" si="73"/>
        <v>0</v>
      </c>
      <c r="BD283">
        <f t="shared" si="74"/>
        <v>0</v>
      </c>
      <c r="BE283" s="10">
        <v>8.0624999999970992</v>
      </c>
      <c r="BF283" s="6">
        <v>26.78462</v>
      </c>
      <c r="BG283" s="6">
        <v>29.376639999999998</v>
      </c>
      <c r="BH283" s="6">
        <v>0.59131599999999995</v>
      </c>
      <c r="BI283" s="6">
        <v>0.6</v>
      </c>
      <c r="BJ283" s="6"/>
      <c r="BK283" s="6" t="s">
        <v>67</v>
      </c>
      <c r="BL283" s="6" t="s">
        <v>74</v>
      </c>
      <c r="BM283" s="6" t="s">
        <v>102</v>
      </c>
      <c r="BN283" s="6" t="s">
        <v>70</v>
      </c>
    </row>
    <row r="284" spans="1:66">
      <c r="A284" s="1" t="s">
        <v>394</v>
      </c>
      <c r="B284" s="1">
        <v>2014</v>
      </c>
      <c r="C284" s="1" t="s">
        <v>134</v>
      </c>
      <c r="D284" s="1">
        <v>6114325</v>
      </c>
      <c r="E284" s="1">
        <v>8372771</v>
      </c>
      <c r="F284" s="1">
        <v>14014025</v>
      </c>
      <c r="G284" s="1">
        <v>9364040</v>
      </c>
      <c r="H284" s="2">
        <f t="shared" si="60"/>
        <v>23378065</v>
      </c>
      <c r="I284" s="2">
        <f>H284+E284</f>
        <v>31750836</v>
      </c>
      <c r="J284" s="1">
        <v>22908605</v>
      </c>
      <c r="K284" s="2">
        <f t="shared" si="61"/>
        <v>37865161</v>
      </c>
      <c r="L284" s="1">
        <v>60773766</v>
      </c>
      <c r="M284" s="1">
        <v>14858320</v>
      </c>
      <c r="N284" s="1">
        <v>9959422</v>
      </c>
      <c r="O284" s="4">
        <f t="shared" si="62"/>
        <v>24817742</v>
      </c>
      <c r="P284" s="1">
        <v>14238165</v>
      </c>
      <c r="Q284" s="4">
        <f t="shared" si="63"/>
        <v>39055907</v>
      </c>
      <c r="R284" s="1">
        <v>7042189</v>
      </c>
      <c r="S284" s="1">
        <v>7623157</v>
      </c>
      <c r="T284" s="4">
        <f t="shared" si="64"/>
        <v>14665346</v>
      </c>
      <c r="U284" s="1">
        <v>53721253</v>
      </c>
      <c r="V284" s="1">
        <v>2014</v>
      </c>
      <c r="W284" s="8">
        <v>22767190</v>
      </c>
      <c r="X284" s="1">
        <v>0.5</v>
      </c>
      <c r="Y284" s="1">
        <v>0</v>
      </c>
      <c r="Z284" s="1">
        <v>0</v>
      </c>
      <c r="AA284" s="1">
        <v>133000000</v>
      </c>
      <c r="AB284" s="1">
        <v>4.597236842105263E-2</v>
      </c>
      <c r="AC284" s="1">
        <v>6.2953165413533838E-2</v>
      </c>
      <c r="AD284" s="1">
        <v>0.10536860902255639</v>
      </c>
      <c r="AE284" s="1">
        <v>7.0406315789473678E-2</v>
      </c>
      <c r="AF284" s="2">
        <f t="shared" si="65"/>
        <v>0.17577492481203005</v>
      </c>
      <c r="AG284" s="2">
        <f>AF284+AC284</f>
        <v>0.2387280902255639</v>
      </c>
      <c r="AH284" s="1">
        <v>0.17224515037593985</v>
      </c>
      <c r="AI284" s="2">
        <f t="shared" si="66"/>
        <v>0.28470045864661653</v>
      </c>
      <c r="AJ284" s="1">
        <v>0.1117166917293233</v>
      </c>
      <c r="AK284" s="1">
        <v>7.4882872180451129E-2</v>
      </c>
      <c r="AL284" s="4">
        <f t="shared" si="67"/>
        <v>0.18659956390977445</v>
      </c>
      <c r="AM284" s="1">
        <v>0.10705387218045113</v>
      </c>
      <c r="AN284" s="4">
        <f t="shared" si="68"/>
        <v>0.29365343609022559</v>
      </c>
      <c r="AO284" s="1">
        <v>5.2948789473684213E-2</v>
      </c>
      <c r="AP284" s="1">
        <v>5.7316969924812028E-2</v>
      </c>
      <c r="AQ284" s="4">
        <f t="shared" si="69"/>
        <v>0.11026575939849624</v>
      </c>
      <c r="AR284" s="1">
        <v>0.40391919548872179</v>
      </c>
      <c r="AS284" s="1">
        <v>0.45694560902255638</v>
      </c>
      <c r="AT284" s="1">
        <v>0.13913519548872189</v>
      </c>
      <c r="AU284" s="1">
        <f t="shared" si="70"/>
        <v>0.17118187969924811</v>
      </c>
      <c r="AV284" s="1">
        <v>8</v>
      </c>
      <c r="AW284">
        <v>306</v>
      </c>
      <c r="AX284">
        <v>340</v>
      </c>
      <c r="AY284" s="6">
        <v>25</v>
      </c>
      <c r="AZ284" s="6">
        <v>10</v>
      </c>
      <c r="BA284" s="11">
        <f t="shared" si="71"/>
        <v>19.125</v>
      </c>
      <c r="BB284">
        <f t="shared" si="72"/>
        <v>21.25</v>
      </c>
      <c r="BC284">
        <f t="shared" si="73"/>
        <v>-34</v>
      </c>
      <c r="BD284">
        <f t="shared" si="74"/>
        <v>-2.125</v>
      </c>
      <c r="BE284" s="10">
        <v>7.0750289186939099</v>
      </c>
      <c r="BF284" s="6">
        <v>26.471430000000002</v>
      </c>
      <c r="BG284" s="6">
        <v>28.145060000000001</v>
      </c>
      <c r="BH284" s="6">
        <v>0.57501599999999997</v>
      </c>
      <c r="BI284" s="6">
        <v>0.54929600000000001</v>
      </c>
      <c r="BJ284" s="6"/>
      <c r="BK284" s="6" t="s">
        <v>80</v>
      </c>
      <c r="BL284" s="6" t="s">
        <v>74</v>
      </c>
      <c r="BM284" s="6" t="s">
        <v>81</v>
      </c>
      <c r="BN284" s="6" t="s">
        <v>75</v>
      </c>
    </row>
    <row r="285" spans="1:66">
      <c r="A285" s="1" t="s">
        <v>395</v>
      </c>
      <c r="B285" s="1">
        <v>2014</v>
      </c>
      <c r="C285" s="1" t="s">
        <v>136</v>
      </c>
      <c r="D285" s="1">
        <v>2227438</v>
      </c>
      <c r="E285" s="1">
        <v>9949013</v>
      </c>
      <c r="F285" s="1">
        <v>6213265</v>
      </c>
      <c r="G285" s="1">
        <v>7351109</v>
      </c>
      <c r="H285" s="2">
        <f t="shared" si="60"/>
        <v>13564374</v>
      </c>
      <c r="I285" s="2">
        <f>H285+E285</f>
        <v>23513387</v>
      </c>
      <c r="J285" s="1">
        <v>23339609</v>
      </c>
      <c r="K285" s="2">
        <f t="shared" si="61"/>
        <v>25740825</v>
      </c>
      <c r="L285" s="1">
        <v>49080434</v>
      </c>
      <c r="M285" s="1">
        <v>11876832</v>
      </c>
      <c r="N285" s="1">
        <v>14437175</v>
      </c>
      <c r="O285" s="4">
        <f t="shared" si="62"/>
        <v>26314007</v>
      </c>
      <c r="P285" s="1">
        <v>11003673</v>
      </c>
      <c r="Q285" s="4">
        <f t="shared" si="63"/>
        <v>37317680</v>
      </c>
      <c r="R285" s="1">
        <v>14824595</v>
      </c>
      <c r="S285" s="1">
        <v>6488073</v>
      </c>
      <c r="T285" s="4">
        <f t="shared" si="64"/>
        <v>21312668</v>
      </c>
      <c r="U285" s="1">
        <v>58630348</v>
      </c>
      <c r="V285" s="1">
        <v>2014</v>
      </c>
      <c r="W285" s="8">
        <v>15255415</v>
      </c>
      <c r="X285" s="1">
        <v>0.75</v>
      </c>
      <c r="Y285" s="1">
        <v>1</v>
      </c>
      <c r="Z285" s="1">
        <v>0</v>
      </c>
      <c r="AA285" s="1">
        <v>133000000</v>
      </c>
      <c r="AB285" s="1">
        <v>1.6747654135338345E-2</v>
      </c>
      <c r="AC285" s="1">
        <v>7.4804609022556395E-2</v>
      </c>
      <c r="AD285" s="1">
        <v>4.6716278195488722E-2</v>
      </c>
      <c r="AE285" s="1">
        <v>5.52714962406015E-2</v>
      </c>
      <c r="AF285" s="2">
        <f t="shared" si="65"/>
        <v>0.10198777443609022</v>
      </c>
      <c r="AG285" s="2">
        <f>AF285+AC285</f>
        <v>0.17679238345864662</v>
      </c>
      <c r="AH285" s="1">
        <v>0.1754857819548872</v>
      </c>
      <c r="AI285" s="2">
        <f t="shared" si="66"/>
        <v>0.19354003759398497</v>
      </c>
      <c r="AJ285" s="1">
        <v>8.9299488721804515E-2</v>
      </c>
      <c r="AK285" s="1">
        <v>0.10855018796992481</v>
      </c>
      <c r="AL285" s="4">
        <f t="shared" si="67"/>
        <v>0.19784967669172931</v>
      </c>
      <c r="AM285" s="1">
        <v>8.2734383458646615E-2</v>
      </c>
      <c r="AN285" s="4">
        <f t="shared" si="68"/>
        <v>0.28058406015037596</v>
      </c>
      <c r="AO285" s="1">
        <v>0.11146312030075188</v>
      </c>
      <c r="AP285" s="1">
        <v>4.8782503759398493E-2</v>
      </c>
      <c r="AQ285" s="4">
        <f t="shared" si="69"/>
        <v>0.16024562406015036</v>
      </c>
      <c r="AR285" s="1">
        <v>0.44082968421052632</v>
      </c>
      <c r="AS285" s="1">
        <v>0.3690258195488722</v>
      </c>
      <c r="AT285" s="1">
        <v>0.19014449624060148</v>
      </c>
      <c r="AU285" s="1">
        <f t="shared" si="70"/>
        <v>0.11470236842105264</v>
      </c>
      <c r="AV285" s="1">
        <v>12</v>
      </c>
      <c r="AW285">
        <v>394</v>
      </c>
      <c r="AX285">
        <v>254</v>
      </c>
      <c r="AY285" s="6">
        <v>10</v>
      </c>
      <c r="AZ285" s="6">
        <v>1</v>
      </c>
      <c r="BA285" s="11">
        <f t="shared" si="71"/>
        <v>24.625</v>
      </c>
      <c r="BB285">
        <f t="shared" si="72"/>
        <v>15.875</v>
      </c>
      <c r="BC285">
        <f t="shared" si="73"/>
        <v>140</v>
      </c>
      <c r="BD285">
        <f t="shared" si="74"/>
        <v>8.75</v>
      </c>
      <c r="BE285" s="10">
        <v>12.128557393598401</v>
      </c>
      <c r="BF285" s="6">
        <v>25.9697</v>
      </c>
      <c r="BG285" s="6">
        <v>26.981089999999998</v>
      </c>
      <c r="BH285" s="6">
        <v>0.60756500000000002</v>
      </c>
      <c r="BI285" s="6">
        <v>0.59090900000000002</v>
      </c>
      <c r="BJ285" s="6"/>
      <c r="BK285" s="6" t="s">
        <v>73</v>
      </c>
      <c r="BL285" s="6" t="s">
        <v>68</v>
      </c>
      <c r="BM285" s="6" t="s">
        <v>99</v>
      </c>
      <c r="BN285" s="6" t="s">
        <v>93</v>
      </c>
    </row>
    <row r="286" spans="1:66">
      <c r="A286" s="1" t="s">
        <v>396</v>
      </c>
      <c r="B286" s="1">
        <v>2014</v>
      </c>
      <c r="C286" s="1" t="s">
        <v>116</v>
      </c>
      <c r="D286" s="1">
        <v>19930000</v>
      </c>
      <c r="E286" s="1">
        <v>3635133</v>
      </c>
      <c r="F286" s="1">
        <v>7489962</v>
      </c>
      <c r="G286" s="1">
        <v>8642056</v>
      </c>
      <c r="H286" s="2">
        <f>SUM(F286:G286)</f>
        <v>16132018</v>
      </c>
      <c r="I286" s="2">
        <f>H286+E286</f>
        <v>19767151</v>
      </c>
      <c r="J286" s="1">
        <v>26264010</v>
      </c>
      <c r="K286" s="2">
        <f>SUM(D286:G286)</f>
        <v>39697151</v>
      </c>
      <c r="L286" s="1">
        <v>65961161</v>
      </c>
      <c r="M286" s="1">
        <v>12047009</v>
      </c>
      <c r="N286" s="1">
        <v>21708707</v>
      </c>
      <c r="O286" s="4">
        <f>SUM(M286:N286)</f>
        <v>33755716</v>
      </c>
      <c r="P286" s="1">
        <v>13272617</v>
      </c>
      <c r="Q286" s="4">
        <f>SUM(O286:P286)</f>
        <v>47028333</v>
      </c>
      <c r="R286" s="1">
        <v>4207611</v>
      </c>
      <c r="S286" s="1">
        <v>3599498</v>
      </c>
      <c r="T286" s="4">
        <f>SUM(R286:S286)</f>
        <v>7807109</v>
      </c>
      <c r="U286" s="1">
        <v>54835442</v>
      </c>
      <c r="V286" s="1">
        <v>2014</v>
      </c>
      <c r="W286" s="8">
        <v>30605636</v>
      </c>
      <c r="X286" s="1">
        <v>0.375</v>
      </c>
      <c r="Y286" s="1">
        <v>0</v>
      </c>
      <c r="Z286" s="1">
        <v>0</v>
      </c>
      <c r="AA286" s="1">
        <v>133000000</v>
      </c>
      <c r="AB286" s="1">
        <v>0.14984962406015037</v>
      </c>
      <c r="AC286" s="1">
        <v>2.7331827067669172E-2</v>
      </c>
      <c r="AD286" s="1">
        <v>5.6315503759398498E-2</v>
      </c>
      <c r="AE286" s="1">
        <v>6.4977864661654131E-2</v>
      </c>
      <c r="AF286" s="2">
        <f>SUM(AD286:AE286)</f>
        <v>0.12129336842105262</v>
      </c>
      <c r="AG286" s="2">
        <f>AF286+AC286</f>
        <v>0.1486251954887218</v>
      </c>
      <c r="AH286" s="1">
        <v>0.19747375939849623</v>
      </c>
      <c r="AI286" s="2">
        <f>SUM(AB286:AE286)</f>
        <v>0.29847481954887217</v>
      </c>
      <c r="AJ286" s="1">
        <v>9.0579015037593982E-2</v>
      </c>
      <c r="AK286" s="1">
        <v>0.16322336090225564</v>
      </c>
      <c r="AL286" s="4">
        <f>SUM(AJ286:AK286)</f>
        <v>0.25380237593984961</v>
      </c>
      <c r="AM286" s="1">
        <v>9.9794112781954894E-2</v>
      </c>
      <c r="AN286" s="4">
        <f>SUM(AL286:AM286)</f>
        <v>0.35359648872180449</v>
      </c>
      <c r="AO286" s="1">
        <v>3.1636172932330828E-2</v>
      </c>
      <c r="AP286" s="1">
        <v>2.7063894736842106E-2</v>
      </c>
      <c r="AQ286" s="4">
        <f>SUM(AO286:AP286)</f>
        <v>5.8700067669172934E-2</v>
      </c>
      <c r="AR286" s="1">
        <v>0.41229655639097745</v>
      </c>
      <c r="AS286" s="1">
        <v>0.49594857894736843</v>
      </c>
      <c r="AT286" s="1">
        <v>9.1754864661654167E-2</v>
      </c>
      <c r="AU286" s="1">
        <f t="shared" si="70"/>
        <v>0.23011756390977445</v>
      </c>
      <c r="AV286" s="1">
        <v>6</v>
      </c>
      <c r="AW286">
        <v>324</v>
      </c>
      <c r="AX286">
        <v>354</v>
      </c>
      <c r="AY286" s="6">
        <v>21</v>
      </c>
      <c r="AZ286" s="6">
        <v>16</v>
      </c>
      <c r="BA286" s="11">
        <f t="shared" si="71"/>
        <v>20.25</v>
      </c>
      <c r="BB286">
        <f t="shared" si="72"/>
        <v>22.125</v>
      </c>
      <c r="BC286">
        <f t="shared" si="73"/>
        <v>-30</v>
      </c>
      <c r="BD286">
        <f t="shared" si="74"/>
        <v>-1.875</v>
      </c>
      <c r="BE286" s="10">
        <v>7.1912019870825201</v>
      </c>
      <c r="BF286" s="6">
        <v>25.533329999999999</v>
      </c>
      <c r="BG286" s="6">
        <v>26.983440000000002</v>
      </c>
      <c r="BH286" s="6">
        <v>0.61033300000000001</v>
      </c>
      <c r="BI286" s="6">
        <v>0.65</v>
      </c>
      <c r="BJ286" s="6"/>
      <c r="BK286" s="6" t="s">
        <v>73</v>
      </c>
      <c r="BL286" s="6" t="s">
        <v>68</v>
      </c>
      <c r="BM286" s="6" t="s">
        <v>99</v>
      </c>
      <c r="BN286" s="6" t="s">
        <v>93</v>
      </c>
    </row>
    <row r="287" spans="1:66">
      <c r="A287" s="1" t="s">
        <v>397</v>
      </c>
      <c r="B287" s="1">
        <v>2014</v>
      </c>
      <c r="C287" s="1" t="s">
        <v>138</v>
      </c>
      <c r="D287" s="1">
        <v>5512169</v>
      </c>
      <c r="E287" s="1">
        <v>3929661</v>
      </c>
      <c r="F287" s="1">
        <v>17087432</v>
      </c>
      <c r="G287" s="1">
        <v>4133809</v>
      </c>
      <c r="H287" s="2">
        <f t="shared" si="60"/>
        <v>21221241</v>
      </c>
      <c r="I287" s="2">
        <f>H287+E287</f>
        <v>25150902</v>
      </c>
      <c r="J287" s="1">
        <v>20487478</v>
      </c>
      <c r="K287" s="2">
        <f t="shared" si="61"/>
        <v>30663071</v>
      </c>
      <c r="L287" s="1">
        <v>51150549</v>
      </c>
      <c r="M287" s="1">
        <v>26581339</v>
      </c>
      <c r="N287" s="1">
        <v>14179861</v>
      </c>
      <c r="O287" s="4">
        <f t="shared" si="62"/>
        <v>40761200</v>
      </c>
      <c r="P287" s="1">
        <v>4809468</v>
      </c>
      <c r="Q287" s="4">
        <f t="shared" si="63"/>
        <v>45570668</v>
      </c>
      <c r="R287" s="1">
        <v>10665150</v>
      </c>
      <c r="S287" s="1">
        <v>12689893</v>
      </c>
      <c r="T287" s="4">
        <f t="shared" si="64"/>
        <v>23355043</v>
      </c>
      <c r="U287" s="1">
        <v>68925711</v>
      </c>
      <c r="V287" s="1">
        <v>2014</v>
      </c>
      <c r="W287" s="8">
        <v>28988412</v>
      </c>
      <c r="X287" s="1">
        <v>0.125</v>
      </c>
      <c r="Y287" s="1">
        <v>0</v>
      </c>
      <c r="Z287" s="1">
        <v>0</v>
      </c>
      <c r="AA287" s="1">
        <v>133000000</v>
      </c>
      <c r="AB287" s="1">
        <v>4.1444879699248122E-2</v>
      </c>
      <c r="AC287" s="1">
        <v>2.9546323308270676E-2</v>
      </c>
      <c r="AD287" s="1">
        <v>0.12847693233082708</v>
      </c>
      <c r="AE287" s="1">
        <v>3.1081270676691728E-2</v>
      </c>
      <c r="AF287" s="2">
        <f t="shared" si="65"/>
        <v>0.1595582030075188</v>
      </c>
      <c r="AG287" s="2">
        <f>AF287+AC287</f>
        <v>0.18910452631578947</v>
      </c>
      <c r="AH287" s="1">
        <v>0.1540411879699248</v>
      </c>
      <c r="AI287" s="2">
        <f t="shared" si="66"/>
        <v>0.23054940601503759</v>
      </c>
      <c r="AJ287" s="1">
        <v>0.1998596917293233</v>
      </c>
      <c r="AK287" s="1">
        <v>0.1066154962406015</v>
      </c>
      <c r="AL287" s="4">
        <f t="shared" si="67"/>
        <v>0.30647518796992479</v>
      </c>
      <c r="AM287" s="1">
        <v>3.6161413533834584E-2</v>
      </c>
      <c r="AN287" s="4">
        <f t="shared" si="68"/>
        <v>0.34263660150375935</v>
      </c>
      <c r="AO287" s="1">
        <v>8.0189097744360907E-2</v>
      </c>
      <c r="AP287" s="1">
        <v>9.5412729323308271E-2</v>
      </c>
      <c r="AQ287" s="4">
        <f t="shared" si="69"/>
        <v>0.17560182706766919</v>
      </c>
      <c r="AR287" s="1">
        <v>0.51823842857142854</v>
      </c>
      <c r="AS287" s="1">
        <v>0.38459059398496243</v>
      </c>
      <c r="AT287" s="1">
        <v>9.717097744360903E-2</v>
      </c>
      <c r="AU287" s="1">
        <f t="shared" si="70"/>
        <v>0.21795798496240601</v>
      </c>
      <c r="AV287" s="1">
        <v>2</v>
      </c>
      <c r="AW287">
        <v>277</v>
      </c>
      <c r="AX287">
        <v>410</v>
      </c>
      <c r="AY287" s="6">
        <v>29</v>
      </c>
      <c r="AZ287" s="6">
        <v>25</v>
      </c>
      <c r="BA287" s="11">
        <f t="shared" si="71"/>
        <v>17.3125</v>
      </c>
      <c r="BB287">
        <f t="shared" si="72"/>
        <v>25.625</v>
      </c>
      <c r="BC287">
        <f t="shared" si="73"/>
        <v>-133</v>
      </c>
      <c r="BD287">
        <f t="shared" si="74"/>
        <v>-8.3125</v>
      </c>
      <c r="BE287" s="10">
        <v>4.1997454760758197</v>
      </c>
      <c r="BF287" s="6">
        <v>25.838709999999999</v>
      </c>
      <c r="BG287" s="6">
        <v>27.755579999999998</v>
      </c>
      <c r="BH287" s="6">
        <v>0.67891299999999999</v>
      </c>
      <c r="BI287" s="6">
        <v>0.37096800000000002</v>
      </c>
      <c r="BJ287" s="6"/>
      <c r="BK287" s="6" t="s">
        <v>80</v>
      </c>
      <c r="BL287" s="6" t="s">
        <v>96</v>
      </c>
      <c r="BM287" s="6" t="s">
        <v>164</v>
      </c>
      <c r="BN287" s="6" t="s">
        <v>93</v>
      </c>
    </row>
    <row r="288" spans="1:66">
      <c r="A288" s="1" t="s">
        <v>398</v>
      </c>
      <c r="B288" s="1">
        <v>2014</v>
      </c>
      <c r="C288" s="1" t="s">
        <v>140</v>
      </c>
      <c r="D288" s="1">
        <v>6035575</v>
      </c>
      <c r="E288" s="1">
        <v>6896110</v>
      </c>
      <c r="F288" s="1">
        <v>9394069</v>
      </c>
      <c r="G288" s="1">
        <v>8033603</v>
      </c>
      <c r="H288" s="2">
        <f t="shared" si="60"/>
        <v>17427672</v>
      </c>
      <c r="I288" s="2">
        <f>H288+E288</f>
        <v>24323782</v>
      </c>
      <c r="J288" s="1">
        <v>26321377</v>
      </c>
      <c r="K288" s="2">
        <f t="shared" si="61"/>
        <v>30359357</v>
      </c>
      <c r="L288" s="1">
        <v>56680734</v>
      </c>
      <c r="M288" s="1">
        <v>14188978</v>
      </c>
      <c r="N288" s="1">
        <v>9059903</v>
      </c>
      <c r="O288" s="4">
        <f t="shared" si="62"/>
        <v>23248881</v>
      </c>
      <c r="P288" s="1">
        <v>6628324</v>
      </c>
      <c r="Q288" s="4">
        <f t="shared" si="63"/>
        <v>29877205</v>
      </c>
      <c r="R288" s="1">
        <v>14007775</v>
      </c>
      <c r="S288" s="1">
        <v>10683260</v>
      </c>
      <c r="T288" s="4">
        <f t="shared" si="64"/>
        <v>24691035</v>
      </c>
      <c r="U288" s="1">
        <v>54568240</v>
      </c>
      <c r="V288" s="1">
        <v>2014</v>
      </c>
      <c r="W288" s="8">
        <v>23583345</v>
      </c>
      <c r="X288" s="1">
        <v>0.125</v>
      </c>
      <c r="Y288" s="1">
        <v>0</v>
      </c>
      <c r="Z288" s="1">
        <v>0</v>
      </c>
      <c r="AA288" s="1">
        <v>133000000</v>
      </c>
      <c r="AB288" s="1">
        <v>4.5380263157894736E-2</v>
      </c>
      <c r="AC288" s="1">
        <v>5.1850451127819545E-2</v>
      </c>
      <c r="AD288" s="1">
        <v>7.0632097744360897E-2</v>
      </c>
      <c r="AE288" s="1">
        <v>6.040303007518797E-2</v>
      </c>
      <c r="AF288" s="2">
        <f t="shared" si="65"/>
        <v>0.13103512781954887</v>
      </c>
      <c r="AG288" s="2">
        <f>AF288+AC288</f>
        <v>0.18288557894736843</v>
      </c>
      <c r="AH288" s="1">
        <v>0.19790509022556391</v>
      </c>
      <c r="AI288" s="2">
        <f t="shared" si="66"/>
        <v>0.22826584210526316</v>
      </c>
      <c r="AJ288" s="1">
        <v>0.10668404511278196</v>
      </c>
      <c r="AK288" s="1">
        <v>6.8119571428571432E-2</v>
      </c>
      <c r="AL288" s="4">
        <f t="shared" si="67"/>
        <v>0.1748036165413534</v>
      </c>
      <c r="AM288" s="1">
        <v>4.9837022556390977E-2</v>
      </c>
      <c r="AN288" s="4">
        <f t="shared" si="68"/>
        <v>0.22464063909774437</v>
      </c>
      <c r="AO288" s="1">
        <v>0.10532161654135339</v>
      </c>
      <c r="AP288" s="1">
        <v>8.0325263157894733E-2</v>
      </c>
      <c r="AQ288" s="4">
        <f t="shared" si="69"/>
        <v>0.18564687969924812</v>
      </c>
      <c r="AR288" s="1">
        <v>0.41028751879699249</v>
      </c>
      <c r="AS288" s="1">
        <v>0.42617093233082709</v>
      </c>
      <c r="AT288" s="1">
        <v>0.16354154887218042</v>
      </c>
      <c r="AU288" s="1">
        <f t="shared" si="70"/>
        <v>0.17731838345864662</v>
      </c>
      <c r="AV288" s="1">
        <v>2</v>
      </c>
      <c r="AW288">
        <v>254</v>
      </c>
      <c r="AX288">
        <v>438</v>
      </c>
      <c r="AY288" s="6">
        <v>30</v>
      </c>
      <c r="AZ288" s="6">
        <v>29</v>
      </c>
      <c r="BA288" s="11">
        <f t="shared" si="71"/>
        <v>15.875</v>
      </c>
      <c r="BB288">
        <f t="shared" si="72"/>
        <v>27.375</v>
      </c>
      <c r="BC288">
        <f t="shared" si="73"/>
        <v>-184</v>
      </c>
      <c r="BD288">
        <f t="shared" si="74"/>
        <v>-11.5</v>
      </c>
      <c r="BE288" s="10">
        <v>2.7185388541210398</v>
      </c>
      <c r="BF288" s="6">
        <v>26.60294</v>
      </c>
      <c r="BG288" s="6">
        <v>27.888570000000001</v>
      </c>
      <c r="BH288" s="6">
        <v>0.57672500000000004</v>
      </c>
      <c r="BI288" s="6">
        <v>0.52941199999999999</v>
      </c>
      <c r="BJ288" s="6"/>
      <c r="BK288" s="6" t="s">
        <v>80</v>
      </c>
      <c r="BL288" s="6" t="s">
        <v>74</v>
      </c>
      <c r="BM288" s="6" t="s">
        <v>81</v>
      </c>
      <c r="BN288" s="6" t="s">
        <v>75</v>
      </c>
    </row>
    <row r="289" spans="1:66">
      <c r="A289" s="1" t="s">
        <v>399</v>
      </c>
      <c r="B289" s="1">
        <v>2014</v>
      </c>
      <c r="C289" s="1" t="s">
        <v>142</v>
      </c>
      <c r="D289" s="1">
        <v>7082926</v>
      </c>
      <c r="E289" s="1">
        <v>2678257</v>
      </c>
      <c r="F289" s="1">
        <v>18448822</v>
      </c>
      <c r="G289" s="1">
        <v>3831981</v>
      </c>
      <c r="H289" s="2">
        <f t="shared" si="60"/>
        <v>22280803</v>
      </c>
      <c r="I289" s="2">
        <f>H289+E289</f>
        <v>24959060</v>
      </c>
      <c r="J289" s="1">
        <v>26783400</v>
      </c>
      <c r="K289" s="2">
        <f t="shared" si="61"/>
        <v>32041986</v>
      </c>
      <c r="L289" s="1">
        <v>58825386</v>
      </c>
      <c r="M289" s="1">
        <v>22282539</v>
      </c>
      <c r="N289" s="1">
        <v>15092287</v>
      </c>
      <c r="O289" s="4">
        <f t="shared" si="62"/>
        <v>37374826</v>
      </c>
      <c r="P289" s="1">
        <v>5082772</v>
      </c>
      <c r="Q289" s="4">
        <f t="shared" si="63"/>
        <v>42457598</v>
      </c>
      <c r="R289" s="1">
        <v>3143824</v>
      </c>
      <c r="S289" s="1">
        <v>7461353</v>
      </c>
      <c r="T289" s="4">
        <f t="shared" si="64"/>
        <v>10605177</v>
      </c>
      <c r="U289" s="1">
        <v>53062775</v>
      </c>
      <c r="V289" s="1">
        <v>2014</v>
      </c>
      <c r="W289" s="8">
        <v>25880310</v>
      </c>
      <c r="X289" s="1">
        <v>0.25</v>
      </c>
      <c r="Y289" s="1">
        <v>0</v>
      </c>
      <c r="Z289" s="1">
        <v>0</v>
      </c>
      <c r="AA289" s="1">
        <v>133000000</v>
      </c>
      <c r="AB289" s="1">
        <v>5.3255082706766918E-2</v>
      </c>
      <c r="AC289" s="1">
        <v>2.0137270676691729E-2</v>
      </c>
      <c r="AD289" s="1">
        <v>0.13871294736842105</v>
      </c>
      <c r="AE289" s="1">
        <v>2.8811887218045111E-2</v>
      </c>
      <c r="AF289" s="2">
        <f t="shared" si="65"/>
        <v>0.16752483458646616</v>
      </c>
      <c r="AG289" s="2">
        <f>AF289+AC289</f>
        <v>0.18766210526315791</v>
      </c>
      <c r="AH289" s="1">
        <v>0.20137894736842105</v>
      </c>
      <c r="AI289" s="2">
        <f t="shared" si="66"/>
        <v>0.24091718796992481</v>
      </c>
      <c r="AJ289" s="1">
        <v>0.16753788721804511</v>
      </c>
      <c r="AK289" s="1">
        <v>0.11347584210526315</v>
      </c>
      <c r="AL289" s="4">
        <f t="shared" si="67"/>
        <v>0.28101372932330826</v>
      </c>
      <c r="AM289" s="1">
        <v>3.8216330827067671E-2</v>
      </c>
      <c r="AN289" s="4">
        <f t="shared" si="68"/>
        <v>0.31923006015037592</v>
      </c>
      <c r="AO289" s="1">
        <v>2.3637774436090227E-2</v>
      </c>
      <c r="AP289" s="1">
        <v>5.61003984962406E-2</v>
      </c>
      <c r="AQ289" s="4">
        <f t="shared" si="69"/>
        <v>7.973817293233082E-2</v>
      </c>
      <c r="AR289" s="1">
        <v>0.39896823308270679</v>
      </c>
      <c r="AS289" s="1">
        <v>0.44229613533834589</v>
      </c>
      <c r="AT289" s="1">
        <v>0.15873563157894732</v>
      </c>
      <c r="AU289" s="1">
        <f t="shared" si="70"/>
        <v>0.19458879699248122</v>
      </c>
      <c r="AV289" s="1">
        <v>4</v>
      </c>
      <c r="AW289">
        <v>301</v>
      </c>
      <c r="AX289">
        <v>438</v>
      </c>
      <c r="AY289" s="6">
        <v>26</v>
      </c>
      <c r="AZ289" s="6">
        <v>29</v>
      </c>
      <c r="BA289" s="11">
        <f t="shared" si="71"/>
        <v>18.8125</v>
      </c>
      <c r="BB289">
        <f t="shared" si="72"/>
        <v>27.375</v>
      </c>
      <c r="BC289">
        <f t="shared" si="73"/>
        <v>-137</v>
      </c>
      <c r="BD289">
        <f t="shared" si="74"/>
        <v>-8.5625</v>
      </c>
      <c r="BE289" s="10">
        <v>4.0835724076872104</v>
      </c>
      <c r="BF289" s="6">
        <v>26.382349999999999</v>
      </c>
      <c r="BG289" s="6">
        <v>27.569479999999999</v>
      </c>
      <c r="BH289" s="6">
        <v>0.61899300000000002</v>
      </c>
      <c r="BI289" s="6">
        <v>0.55882399999999999</v>
      </c>
      <c r="BJ289" s="6"/>
      <c r="BK289" s="6" t="s">
        <v>73</v>
      </c>
      <c r="BL289" s="6" t="s">
        <v>68</v>
      </c>
      <c r="BM289" s="6" t="s">
        <v>99</v>
      </c>
      <c r="BN289" s="6" t="s">
        <v>93</v>
      </c>
    </row>
    <row r="290" spans="1:66">
      <c r="A290" s="1" t="s">
        <v>400</v>
      </c>
      <c r="B290" s="1">
        <v>2013</v>
      </c>
      <c r="C290" s="1" t="s">
        <v>66</v>
      </c>
      <c r="D290" s="1">
        <v>6172993</v>
      </c>
      <c r="E290" s="1">
        <v>5306754</v>
      </c>
      <c r="F290" s="1">
        <v>15022466</v>
      </c>
      <c r="G290" s="1">
        <v>4425078</v>
      </c>
      <c r="H290" s="2">
        <f t="shared" si="60"/>
        <v>19447544</v>
      </c>
      <c r="I290" s="2">
        <f>H290+E290</f>
        <v>24754298</v>
      </c>
      <c r="J290" s="1">
        <v>19171690</v>
      </c>
      <c r="K290" s="2">
        <f t="shared" si="61"/>
        <v>30927291</v>
      </c>
      <c r="L290" s="1">
        <v>50098981</v>
      </c>
      <c r="M290" s="1">
        <v>20498000</v>
      </c>
      <c r="N290" s="1">
        <v>5347625</v>
      </c>
      <c r="O290" s="4">
        <f t="shared" si="62"/>
        <v>25845625</v>
      </c>
      <c r="P290" s="1">
        <v>7964030</v>
      </c>
      <c r="Q290" s="4">
        <f t="shared" si="63"/>
        <v>33809655</v>
      </c>
      <c r="R290" s="1">
        <v>2809618</v>
      </c>
      <c r="S290" s="1">
        <v>10407900</v>
      </c>
      <c r="T290" s="4">
        <f t="shared" si="64"/>
        <v>13217518</v>
      </c>
      <c r="U290" s="1">
        <v>47027173</v>
      </c>
      <c r="V290" s="1">
        <v>2013</v>
      </c>
      <c r="W290" s="8">
        <v>9185244</v>
      </c>
      <c r="X290" s="1">
        <v>0.625</v>
      </c>
      <c r="Y290" s="1">
        <v>0</v>
      </c>
      <c r="Z290" s="1">
        <v>0</v>
      </c>
      <c r="AA290" s="1">
        <v>123600000</v>
      </c>
      <c r="AB290" s="1">
        <v>4.9943309061488673E-2</v>
      </c>
      <c r="AC290" s="1">
        <v>4.2934902912621357E-2</v>
      </c>
      <c r="AD290" s="1">
        <v>0.12154098705501618</v>
      </c>
      <c r="AE290" s="1">
        <v>3.5801601941747571E-2</v>
      </c>
      <c r="AF290" s="2">
        <f t="shared" si="65"/>
        <v>0.15734258899676373</v>
      </c>
      <c r="AG290" s="2">
        <f>AF290+AC290</f>
        <v>0.2002774919093851</v>
      </c>
      <c r="AH290" s="1">
        <v>0.15511076051779935</v>
      </c>
      <c r="AI290" s="2">
        <f t="shared" si="66"/>
        <v>0.25022080097087379</v>
      </c>
      <c r="AJ290" s="1">
        <v>0.16584142394822007</v>
      </c>
      <c r="AK290" s="1">
        <v>4.3265574433656959E-2</v>
      </c>
      <c r="AL290" s="4">
        <f t="shared" si="67"/>
        <v>0.20910699838187702</v>
      </c>
      <c r="AM290" s="1">
        <v>6.4433899676375403E-2</v>
      </c>
      <c r="AN290" s="4">
        <f t="shared" si="68"/>
        <v>0.27354089805825244</v>
      </c>
      <c r="AO290" s="1">
        <v>2.2731537216828478E-2</v>
      </c>
      <c r="AP290" s="1">
        <v>8.4206310679611651E-2</v>
      </c>
      <c r="AQ290" s="4">
        <f t="shared" si="69"/>
        <v>0.10693784789644013</v>
      </c>
      <c r="AR290" s="1">
        <v>0.38047874595469255</v>
      </c>
      <c r="AS290" s="1">
        <v>0.40533156148867316</v>
      </c>
      <c r="AT290" s="1">
        <v>0.21418969255663423</v>
      </c>
      <c r="AU290" s="1">
        <f t="shared" si="70"/>
        <v>7.431427184466019E-2</v>
      </c>
      <c r="AV290" s="1">
        <v>10</v>
      </c>
      <c r="AW290">
        <v>379</v>
      </c>
      <c r="AX290">
        <v>324</v>
      </c>
      <c r="AY290" s="6">
        <v>16</v>
      </c>
      <c r="AZ290" s="6">
        <v>7</v>
      </c>
      <c r="BA290" s="11">
        <f t="shared" si="71"/>
        <v>23.6875</v>
      </c>
      <c r="BB290">
        <f t="shared" si="72"/>
        <v>20.25</v>
      </c>
      <c r="BC290">
        <f t="shared" si="73"/>
        <v>55</v>
      </c>
      <c r="BD290">
        <f t="shared" si="74"/>
        <v>3.4375</v>
      </c>
      <c r="BE290" s="10">
        <v>9.65987969034048</v>
      </c>
      <c r="BF290" s="6">
        <v>26.836069999999999</v>
      </c>
      <c r="BG290" s="6">
        <v>28.38794</v>
      </c>
      <c r="BH290" s="6">
        <v>0.54340200000000005</v>
      </c>
      <c r="BI290" s="6">
        <v>0</v>
      </c>
      <c r="BJ290" s="6"/>
      <c r="BK290" s="6" t="s">
        <v>80</v>
      </c>
      <c r="BL290" s="6" t="s">
        <v>74</v>
      </c>
      <c r="BM290" s="6" t="s">
        <v>81</v>
      </c>
      <c r="BN290" s="6" t="s">
        <v>75</v>
      </c>
    </row>
    <row r="291" spans="1:66">
      <c r="A291" s="1" t="s">
        <v>401</v>
      </c>
      <c r="B291" s="1">
        <v>2013</v>
      </c>
      <c r="C291" s="1" t="s">
        <v>72</v>
      </c>
      <c r="D291" s="1">
        <v>10920140</v>
      </c>
      <c r="E291" s="1">
        <v>6293062</v>
      </c>
      <c r="F291" s="1">
        <v>17406642</v>
      </c>
      <c r="G291" s="1">
        <v>6938146</v>
      </c>
      <c r="H291" s="2">
        <f t="shared" si="60"/>
        <v>24344788</v>
      </c>
      <c r="I291" s="2">
        <f>H291+E291</f>
        <v>30637850</v>
      </c>
      <c r="J291" s="1">
        <v>16464048</v>
      </c>
      <c r="K291" s="2">
        <f t="shared" si="61"/>
        <v>41557990</v>
      </c>
      <c r="L291" s="1">
        <v>58022038</v>
      </c>
      <c r="M291" s="1">
        <v>9806798</v>
      </c>
      <c r="N291" s="1">
        <v>8139270</v>
      </c>
      <c r="O291" s="4">
        <f t="shared" si="62"/>
        <v>17946068</v>
      </c>
      <c r="P291" s="1">
        <v>8433728</v>
      </c>
      <c r="Q291" s="4">
        <f t="shared" si="63"/>
        <v>26379796</v>
      </c>
      <c r="R291" s="1">
        <v>7249890</v>
      </c>
      <c r="S291" s="1">
        <v>9276181</v>
      </c>
      <c r="T291" s="4">
        <f t="shared" si="64"/>
        <v>16526071</v>
      </c>
      <c r="U291" s="1">
        <v>42905867</v>
      </c>
      <c r="V291" s="1">
        <v>2013</v>
      </c>
      <c r="W291" s="8">
        <v>15184383</v>
      </c>
      <c r="X291" s="1">
        <v>0.25</v>
      </c>
      <c r="Y291" s="1">
        <v>0</v>
      </c>
      <c r="Z291" s="1">
        <v>0</v>
      </c>
      <c r="AA291" s="1">
        <v>123600000</v>
      </c>
      <c r="AB291" s="1">
        <v>8.8350647249190936E-2</v>
      </c>
      <c r="AC291" s="1">
        <v>5.0914741100323624E-2</v>
      </c>
      <c r="AD291" s="1">
        <v>0.14083043689320388</v>
      </c>
      <c r="AE291" s="1">
        <v>5.6133867313915856E-2</v>
      </c>
      <c r="AF291" s="2">
        <f t="shared" si="65"/>
        <v>0.19696430420711974</v>
      </c>
      <c r="AG291" s="2">
        <f>AF291+AC291</f>
        <v>0.24787904530744337</v>
      </c>
      <c r="AH291" s="1">
        <v>0.13320427184466019</v>
      </c>
      <c r="AI291" s="2">
        <f t="shared" si="66"/>
        <v>0.33622969255663432</v>
      </c>
      <c r="AJ291" s="1">
        <v>7.9343025889967639E-2</v>
      </c>
      <c r="AK291" s="1">
        <v>6.5851699029126215E-2</v>
      </c>
      <c r="AL291" s="4">
        <f t="shared" si="67"/>
        <v>0.14519472491909385</v>
      </c>
      <c r="AM291" s="1">
        <v>6.8234045307443369E-2</v>
      </c>
      <c r="AN291" s="4">
        <f t="shared" si="68"/>
        <v>0.21342877022653722</v>
      </c>
      <c r="AO291" s="1">
        <v>5.865606796116505E-2</v>
      </c>
      <c r="AP291" s="1">
        <v>7.5050008090614892E-2</v>
      </c>
      <c r="AQ291" s="4">
        <f t="shared" si="69"/>
        <v>0.13370607605177995</v>
      </c>
      <c r="AR291" s="1">
        <v>0.34713484627831714</v>
      </c>
      <c r="AS291" s="1">
        <v>0.46943396440129448</v>
      </c>
      <c r="AT291" s="1">
        <v>0.18343118932038838</v>
      </c>
      <c r="AU291" s="1">
        <f t="shared" si="70"/>
        <v>0.12285099514563107</v>
      </c>
      <c r="AV291" s="1">
        <v>4</v>
      </c>
      <c r="AW291">
        <v>353</v>
      </c>
      <c r="AX291">
        <v>443</v>
      </c>
      <c r="AY291" s="6">
        <v>20</v>
      </c>
      <c r="AZ291" s="6">
        <v>27</v>
      </c>
      <c r="BA291" s="11">
        <f t="shared" si="71"/>
        <v>22.0625</v>
      </c>
      <c r="BB291">
        <f t="shared" si="72"/>
        <v>27.6875</v>
      </c>
      <c r="BC291">
        <f t="shared" si="73"/>
        <v>-90</v>
      </c>
      <c r="BD291">
        <f t="shared" si="74"/>
        <v>-5.625</v>
      </c>
      <c r="BE291" s="10">
        <v>5.4486059612533699</v>
      </c>
      <c r="BF291" s="6">
        <v>26.21875</v>
      </c>
      <c r="BG291" s="6">
        <v>28.984259999999999</v>
      </c>
      <c r="BH291" s="6">
        <v>0.58348500000000003</v>
      </c>
      <c r="BI291" s="6">
        <v>0</v>
      </c>
      <c r="BJ291" s="6"/>
      <c r="BK291" s="6" t="s">
        <v>67</v>
      </c>
      <c r="BL291" s="6" t="s">
        <v>74</v>
      </c>
      <c r="BM291" s="6" t="s">
        <v>102</v>
      </c>
      <c r="BN291" s="6" t="s">
        <v>70</v>
      </c>
    </row>
    <row r="292" spans="1:66">
      <c r="A292" s="1" t="s">
        <v>402</v>
      </c>
      <c r="B292" s="1">
        <v>2013</v>
      </c>
      <c r="C292" s="1" t="s">
        <v>77</v>
      </c>
      <c r="D292" s="1">
        <v>7381327</v>
      </c>
      <c r="E292" s="1">
        <v>7936927</v>
      </c>
      <c r="F292" s="1">
        <v>7986810</v>
      </c>
      <c r="G292" s="1">
        <v>3966000</v>
      </c>
      <c r="H292" s="2">
        <f>SUM(F292:G292)</f>
        <v>11952810</v>
      </c>
      <c r="I292" s="2">
        <f>H292+E292</f>
        <v>19889737</v>
      </c>
      <c r="J292" s="1">
        <v>16354916</v>
      </c>
      <c r="K292" s="2">
        <f>SUM(D292:G292)</f>
        <v>27271064</v>
      </c>
      <c r="L292" s="1">
        <v>43625980</v>
      </c>
      <c r="M292" s="1">
        <v>17275372</v>
      </c>
      <c r="N292" s="1">
        <v>19320572</v>
      </c>
      <c r="O292" s="4">
        <f>SUM(M292:N292)</f>
        <v>36595944</v>
      </c>
      <c r="P292" s="1">
        <v>4593000</v>
      </c>
      <c r="Q292" s="4">
        <f>SUM(O292:P292)</f>
        <v>41188944</v>
      </c>
      <c r="R292" s="1">
        <v>3813423</v>
      </c>
      <c r="S292" s="1">
        <v>10949281</v>
      </c>
      <c r="T292" s="4">
        <f>SUM(R292:S292)</f>
        <v>14762704</v>
      </c>
      <c r="U292" s="1">
        <v>55951648</v>
      </c>
      <c r="V292" s="1">
        <v>2013</v>
      </c>
      <c r="W292" s="8">
        <v>2598546</v>
      </c>
      <c r="X292" s="1">
        <v>0.5</v>
      </c>
      <c r="Y292" s="1">
        <v>0</v>
      </c>
      <c r="Z292" s="1">
        <v>0</v>
      </c>
      <c r="AA292" s="1">
        <v>123600000</v>
      </c>
      <c r="AB292" s="1">
        <v>5.971947411003236E-2</v>
      </c>
      <c r="AC292" s="1">
        <v>6.4214619741100321E-2</v>
      </c>
      <c r="AD292" s="1">
        <v>6.4618203883495151E-2</v>
      </c>
      <c r="AE292" s="1">
        <v>3.2087378640776702E-2</v>
      </c>
      <c r="AF292" s="2">
        <f>SUM(AD292:AE292)</f>
        <v>9.670558252427186E-2</v>
      </c>
      <c r="AG292" s="2">
        <f>AF292+AC292</f>
        <v>0.16092020226537218</v>
      </c>
      <c r="AH292" s="1">
        <v>0.13232132686084142</v>
      </c>
      <c r="AI292" s="2">
        <f>SUM(AB292:AE292)</f>
        <v>0.22063967637540455</v>
      </c>
      <c r="AJ292" s="1">
        <v>0.13976838187702265</v>
      </c>
      <c r="AK292" s="1">
        <v>0.15631530744336569</v>
      </c>
      <c r="AL292" s="4">
        <f>SUM(AJ292:AK292)</f>
        <v>0.29608368932038831</v>
      </c>
      <c r="AM292" s="1">
        <v>3.7160194174757279E-2</v>
      </c>
      <c r="AN292" s="4">
        <f>SUM(AL292:AM292)</f>
        <v>0.33324388349514561</v>
      </c>
      <c r="AO292" s="1">
        <v>3.0852936893203883E-2</v>
      </c>
      <c r="AP292" s="1">
        <v>8.8586415857605183E-2</v>
      </c>
      <c r="AQ292" s="4">
        <f>SUM(AO292:AP292)</f>
        <v>0.11943935275080907</v>
      </c>
      <c r="AR292" s="1">
        <v>0.45268323624595469</v>
      </c>
      <c r="AS292" s="1">
        <v>0.35296100323624596</v>
      </c>
      <c r="AT292" s="1">
        <v>0.19435576051779935</v>
      </c>
      <c r="AU292" s="1">
        <f t="shared" si="70"/>
        <v>2.1023834951456311E-2</v>
      </c>
      <c r="AV292" s="1">
        <v>8</v>
      </c>
      <c r="AW292">
        <v>320</v>
      </c>
      <c r="AX292">
        <v>352</v>
      </c>
      <c r="AY292" s="6">
        <v>25</v>
      </c>
      <c r="AZ292" s="6">
        <v>12</v>
      </c>
      <c r="BA292" s="11">
        <f t="shared" si="71"/>
        <v>20</v>
      </c>
      <c r="BB292">
        <f t="shared" si="72"/>
        <v>22</v>
      </c>
      <c r="BC292">
        <f t="shared" si="73"/>
        <v>-32</v>
      </c>
      <c r="BD292">
        <f t="shared" si="74"/>
        <v>-2</v>
      </c>
      <c r="BE292" s="10">
        <v>7.1331154528882204</v>
      </c>
      <c r="BF292" s="6">
        <v>26.327590000000001</v>
      </c>
      <c r="BG292" s="6">
        <v>27.922039999999999</v>
      </c>
      <c r="BH292" s="6">
        <v>0.59126100000000004</v>
      </c>
      <c r="BI292" s="6">
        <v>0</v>
      </c>
      <c r="BJ292" s="6"/>
      <c r="BK292" s="6" t="s">
        <v>80</v>
      </c>
      <c r="BL292" s="6" t="s">
        <v>74</v>
      </c>
      <c r="BM292" s="6" t="s">
        <v>81</v>
      </c>
      <c r="BN292" s="6" t="s">
        <v>75</v>
      </c>
    </row>
    <row r="293" spans="1:66">
      <c r="A293" s="1" t="s">
        <v>403</v>
      </c>
      <c r="B293" s="1">
        <v>2013</v>
      </c>
      <c r="C293" s="1" t="s">
        <v>79</v>
      </c>
      <c r="D293" s="1">
        <v>4663940</v>
      </c>
      <c r="E293" s="1">
        <v>8362867</v>
      </c>
      <c r="F293" s="1">
        <v>8979223</v>
      </c>
      <c r="G293" s="1">
        <v>4489668</v>
      </c>
      <c r="H293" s="2">
        <f>SUM(F293:G293)</f>
        <v>13468891</v>
      </c>
      <c r="I293" s="2">
        <f>H293+E293</f>
        <v>21831758</v>
      </c>
      <c r="J293" s="1">
        <v>14455361</v>
      </c>
      <c r="K293" s="2">
        <f>SUM(D293:G293)</f>
        <v>26495698</v>
      </c>
      <c r="L293" s="1">
        <v>40951059</v>
      </c>
      <c r="M293" s="1">
        <v>16611040</v>
      </c>
      <c r="N293" s="1">
        <v>13270000</v>
      </c>
      <c r="O293" s="4">
        <f>SUM(M293:N293)</f>
        <v>29881040</v>
      </c>
      <c r="P293" s="1">
        <v>5414838</v>
      </c>
      <c r="Q293" s="4">
        <f>SUM(O293:P293)</f>
        <v>35295878</v>
      </c>
      <c r="R293" s="1">
        <v>10503423</v>
      </c>
      <c r="S293" s="1">
        <v>7069748</v>
      </c>
      <c r="T293" s="4">
        <f>SUM(R293:S293)</f>
        <v>17573171</v>
      </c>
      <c r="U293" s="1">
        <v>52869049</v>
      </c>
      <c r="V293" s="1">
        <v>2013</v>
      </c>
      <c r="W293" s="8">
        <v>3370023</v>
      </c>
      <c r="X293" s="1">
        <v>0.375</v>
      </c>
      <c r="Y293" s="1">
        <v>0</v>
      </c>
      <c r="Z293" s="1">
        <v>0</v>
      </c>
      <c r="AA293" s="1">
        <v>123600000</v>
      </c>
      <c r="AB293" s="1">
        <v>3.7734142394822007E-2</v>
      </c>
      <c r="AC293" s="1">
        <v>6.7660736245954686E-2</v>
      </c>
      <c r="AD293" s="1">
        <v>7.2647435275080913E-2</v>
      </c>
      <c r="AE293" s="1">
        <v>3.6324174757281551E-2</v>
      </c>
      <c r="AF293" s="2">
        <f>SUM(AD293:AE293)</f>
        <v>0.10897161003236247</v>
      </c>
      <c r="AG293" s="2">
        <f>AF293+AC293</f>
        <v>0.17663234627831714</v>
      </c>
      <c r="AH293" s="1">
        <v>0.11695275889967638</v>
      </c>
      <c r="AI293" s="2">
        <f>SUM(AB293:AE293)</f>
        <v>0.21436648867313918</v>
      </c>
      <c r="AJ293" s="1">
        <v>0.13439352750809061</v>
      </c>
      <c r="AK293" s="1">
        <v>0.10736245954692557</v>
      </c>
      <c r="AL293" s="4">
        <f>SUM(AJ293:AK293)</f>
        <v>0.24175598705501616</v>
      </c>
      <c r="AM293" s="1">
        <v>4.3809368932038836E-2</v>
      </c>
      <c r="AN293" s="4">
        <f>SUM(AL293:AM293)</f>
        <v>0.28556535598705501</v>
      </c>
      <c r="AO293" s="1">
        <v>8.4979150485436888E-2</v>
      </c>
      <c r="AP293" s="1">
        <v>5.7198608414239481E-2</v>
      </c>
      <c r="AQ293" s="4">
        <f>SUM(AO293:AP293)</f>
        <v>0.14217775889967638</v>
      </c>
      <c r="AR293" s="1">
        <v>0.42774311488673139</v>
      </c>
      <c r="AS293" s="1">
        <v>0.33131924757281556</v>
      </c>
      <c r="AT293" s="1">
        <v>0.24093763754045305</v>
      </c>
      <c r="AU293" s="1">
        <f t="shared" si="70"/>
        <v>2.7265558252427186E-2</v>
      </c>
      <c r="AV293" s="1">
        <v>6</v>
      </c>
      <c r="AW293">
        <v>339</v>
      </c>
      <c r="AX293">
        <v>388</v>
      </c>
      <c r="AY293" s="6">
        <v>22</v>
      </c>
      <c r="AZ293" s="6">
        <v>20</v>
      </c>
      <c r="BA293" s="11">
        <f t="shared" si="71"/>
        <v>21.1875</v>
      </c>
      <c r="BB293">
        <f t="shared" si="72"/>
        <v>24.25</v>
      </c>
      <c r="BC293">
        <f t="shared" si="73"/>
        <v>-49</v>
      </c>
      <c r="BD293">
        <f t="shared" si="74"/>
        <v>-3.0625</v>
      </c>
      <c r="BE293" s="10">
        <v>6.6393799122366302</v>
      </c>
      <c r="BF293" s="6">
        <v>25.898309999999999</v>
      </c>
      <c r="BG293" s="6">
        <v>27.056560000000001</v>
      </c>
      <c r="BH293" s="6">
        <v>0.58693300000000004</v>
      </c>
      <c r="BI293" s="6">
        <v>0</v>
      </c>
      <c r="BJ293" s="6"/>
      <c r="BK293" s="6" t="s">
        <v>73</v>
      </c>
      <c r="BL293" s="6" t="s">
        <v>74</v>
      </c>
      <c r="BM293" s="6" t="s">
        <v>75</v>
      </c>
      <c r="BN293" s="6" t="s">
        <v>93</v>
      </c>
    </row>
    <row r="294" spans="1:66">
      <c r="A294" s="1" t="s">
        <v>404</v>
      </c>
      <c r="B294" s="1">
        <v>2013</v>
      </c>
      <c r="C294" s="1" t="s">
        <v>83</v>
      </c>
      <c r="D294" s="1">
        <v>7579454</v>
      </c>
      <c r="E294" s="1">
        <v>9290450</v>
      </c>
      <c r="F294" s="1">
        <v>11041036</v>
      </c>
      <c r="G294" s="1">
        <v>4325000</v>
      </c>
      <c r="H294" s="2">
        <f>SUM(F294:G294)</f>
        <v>15366036</v>
      </c>
      <c r="I294" s="2">
        <f>H294+E294</f>
        <v>24656486</v>
      </c>
      <c r="J294" s="1">
        <v>18981126</v>
      </c>
      <c r="K294" s="2">
        <f>SUM(D294:G294)</f>
        <v>32235940</v>
      </c>
      <c r="L294" s="1">
        <v>51217066</v>
      </c>
      <c r="M294" s="1">
        <v>5096152</v>
      </c>
      <c r="N294" s="1">
        <v>11629844</v>
      </c>
      <c r="O294" s="4">
        <f>SUM(M294:N294)</f>
        <v>16725996</v>
      </c>
      <c r="P294" s="1">
        <v>12335911</v>
      </c>
      <c r="Q294" s="4">
        <f>SUM(O294:P294)</f>
        <v>29061907</v>
      </c>
      <c r="R294" s="1">
        <v>6639853</v>
      </c>
      <c r="S294" s="1">
        <v>3244456</v>
      </c>
      <c r="T294" s="4">
        <f>SUM(R294:S294)</f>
        <v>9884309</v>
      </c>
      <c r="U294" s="1">
        <v>38946216</v>
      </c>
      <c r="V294" s="1">
        <v>2013</v>
      </c>
      <c r="W294" s="8">
        <v>19388894</v>
      </c>
      <c r="X294" s="1">
        <v>0.75</v>
      </c>
      <c r="Y294" s="1">
        <v>1</v>
      </c>
      <c r="Z294" s="1">
        <v>0</v>
      </c>
      <c r="AA294" s="1">
        <v>123600000</v>
      </c>
      <c r="AB294" s="1">
        <v>6.132244336569579E-2</v>
      </c>
      <c r="AC294" s="1">
        <v>7.5165453074433661E-2</v>
      </c>
      <c r="AD294" s="1">
        <v>8.9328770226537221E-2</v>
      </c>
      <c r="AE294" s="1">
        <v>3.4991909385113269E-2</v>
      </c>
      <c r="AF294" s="2">
        <f>SUM(AD294:AE294)</f>
        <v>0.1243206796116505</v>
      </c>
      <c r="AG294" s="2">
        <f>AF294+AC294</f>
        <v>0.19948613268608417</v>
      </c>
      <c r="AH294" s="1">
        <v>0.15356898058252427</v>
      </c>
      <c r="AI294" s="2">
        <f>SUM(AB294:AE294)</f>
        <v>0.26080857605177993</v>
      </c>
      <c r="AJ294" s="1">
        <v>4.1231003236245956E-2</v>
      </c>
      <c r="AK294" s="1">
        <v>9.409258899676376E-2</v>
      </c>
      <c r="AL294" s="4">
        <f>SUM(AJ294:AK294)</f>
        <v>0.13532359223300972</v>
      </c>
      <c r="AM294" s="1">
        <v>9.9805105177993528E-2</v>
      </c>
      <c r="AN294" s="4">
        <f>SUM(AL294:AM294)</f>
        <v>0.23512869741100323</v>
      </c>
      <c r="AO294" s="1">
        <v>5.3720493527508094E-2</v>
      </c>
      <c r="AP294" s="1">
        <v>2.6249644012944984E-2</v>
      </c>
      <c r="AQ294" s="4">
        <f>SUM(AO294:AP294)</f>
        <v>7.9970137540453082E-2</v>
      </c>
      <c r="AR294" s="1">
        <v>0.3150988349514563</v>
      </c>
      <c r="AS294" s="1">
        <v>0.4143775566343042</v>
      </c>
      <c r="AT294" s="1">
        <v>0.2705236084142395</v>
      </c>
      <c r="AU294" s="1">
        <f t="shared" si="70"/>
        <v>0.15686807443365697</v>
      </c>
      <c r="AV294" s="1">
        <v>12</v>
      </c>
      <c r="AW294">
        <v>366</v>
      </c>
      <c r="AX294">
        <v>241</v>
      </c>
      <c r="AY294" s="6">
        <v>18</v>
      </c>
      <c r="AZ294" s="6">
        <v>2</v>
      </c>
      <c r="BA294" s="11">
        <f t="shared" si="71"/>
        <v>22.875</v>
      </c>
      <c r="BB294">
        <f t="shared" si="72"/>
        <v>15.0625</v>
      </c>
      <c r="BC294">
        <f t="shared" si="73"/>
        <v>125</v>
      </c>
      <c r="BD294">
        <f t="shared" si="74"/>
        <v>7.8125</v>
      </c>
      <c r="BE294" s="10">
        <v>11.6929083871412</v>
      </c>
      <c r="BF294" s="6">
        <v>26.606059999999999</v>
      </c>
      <c r="BG294" s="6">
        <v>27.613330000000001</v>
      </c>
      <c r="BH294" s="6">
        <v>0.53797700000000004</v>
      </c>
      <c r="BI294" s="6">
        <v>0</v>
      </c>
      <c r="BJ294" s="6"/>
      <c r="BK294" s="6" t="s">
        <v>73</v>
      </c>
      <c r="BL294" s="6" t="s">
        <v>74</v>
      </c>
      <c r="BM294" s="6" t="s">
        <v>75</v>
      </c>
      <c r="BN294" s="6" t="s">
        <v>75</v>
      </c>
    </row>
    <row r="295" spans="1:66">
      <c r="A295" s="1" t="s">
        <v>405</v>
      </c>
      <c r="B295" s="1">
        <v>2013</v>
      </c>
      <c r="C295" s="1" t="s">
        <v>85</v>
      </c>
      <c r="D295" s="1">
        <v>11276471</v>
      </c>
      <c r="E295" s="1">
        <v>12036166</v>
      </c>
      <c r="F295" s="1">
        <v>16580067</v>
      </c>
      <c r="G295" s="1">
        <v>2495000</v>
      </c>
      <c r="H295" s="2">
        <f>SUM(F295:G295)</f>
        <v>19075067</v>
      </c>
      <c r="I295" s="2">
        <f>H295+E295</f>
        <v>31111233</v>
      </c>
      <c r="J295" s="1">
        <v>10071052</v>
      </c>
      <c r="K295" s="2">
        <f>SUM(D295:G295)</f>
        <v>42387704</v>
      </c>
      <c r="L295" s="1">
        <v>52458756</v>
      </c>
      <c r="M295" s="1">
        <v>10999363</v>
      </c>
      <c r="N295" s="1">
        <v>18744765</v>
      </c>
      <c r="O295" s="4">
        <f>SUM(M295:N295)</f>
        <v>29744128</v>
      </c>
      <c r="P295" s="1">
        <v>12510915</v>
      </c>
      <c r="Q295" s="4">
        <f>SUM(O295:P295)</f>
        <v>42255043</v>
      </c>
      <c r="R295" s="1">
        <v>3802254</v>
      </c>
      <c r="S295" s="1">
        <v>15375000</v>
      </c>
      <c r="T295" s="4">
        <f>SUM(R295:S295)</f>
        <v>19177254</v>
      </c>
      <c r="U295" s="1">
        <v>61432297</v>
      </c>
      <c r="V295" s="1">
        <v>2013</v>
      </c>
      <c r="W295" s="8">
        <v>19028125</v>
      </c>
      <c r="X295" s="1">
        <v>0.5</v>
      </c>
      <c r="Y295" s="1">
        <v>0</v>
      </c>
      <c r="Z295" s="1">
        <v>0</v>
      </c>
      <c r="AA295" s="1">
        <v>123600000</v>
      </c>
      <c r="AB295" s="1">
        <v>9.1233584142394825E-2</v>
      </c>
      <c r="AC295" s="1">
        <v>9.7379983818770222E-2</v>
      </c>
      <c r="AD295" s="1">
        <v>0.13414293689320389</v>
      </c>
      <c r="AE295" s="1">
        <v>2.0186084142394822E-2</v>
      </c>
      <c r="AF295" s="2">
        <f>SUM(AD295:AE295)</f>
        <v>0.1543290210355987</v>
      </c>
      <c r="AG295" s="2">
        <f>AF295+AC295</f>
        <v>0.25170900485436892</v>
      </c>
      <c r="AH295" s="1">
        <v>8.148100323624595E-2</v>
      </c>
      <c r="AI295" s="2">
        <f>SUM(AB295:AE295)</f>
        <v>0.34294258899676372</v>
      </c>
      <c r="AJ295" s="1">
        <v>8.8991610032362459E-2</v>
      </c>
      <c r="AK295" s="1">
        <v>0.15165667475728156</v>
      </c>
      <c r="AL295" s="4">
        <f>SUM(AJ295:AK295)</f>
        <v>0.24064828478964401</v>
      </c>
      <c r="AM295" s="1">
        <v>0.10122099514563107</v>
      </c>
      <c r="AN295" s="4">
        <f>SUM(AL295:AM295)</f>
        <v>0.34186927993527505</v>
      </c>
      <c r="AO295" s="1">
        <v>3.0762572815533979E-2</v>
      </c>
      <c r="AP295" s="1">
        <v>0.12439320388349515</v>
      </c>
      <c r="AQ295" s="4">
        <f>SUM(AO295:AP295)</f>
        <v>0.15515577669902914</v>
      </c>
      <c r="AR295" s="1">
        <v>0.49702505663430419</v>
      </c>
      <c r="AS295" s="1">
        <v>0.42442359223300968</v>
      </c>
      <c r="AT295" s="1">
        <v>7.8551351132686076E-2</v>
      </c>
      <c r="AU295" s="1">
        <f t="shared" si="70"/>
        <v>0.15394923139158576</v>
      </c>
      <c r="AV295" s="1">
        <v>8</v>
      </c>
      <c r="AW295">
        <v>445</v>
      </c>
      <c r="AX295">
        <v>478</v>
      </c>
      <c r="AY295" s="6">
        <v>2</v>
      </c>
      <c r="AZ295" s="6">
        <v>30</v>
      </c>
      <c r="BA295" s="11">
        <f t="shared" si="71"/>
        <v>27.8125</v>
      </c>
      <c r="BB295">
        <f t="shared" si="72"/>
        <v>29.875</v>
      </c>
      <c r="BC295">
        <f t="shared" si="73"/>
        <v>-33</v>
      </c>
      <c r="BD295">
        <f t="shared" si="74"/>
        <v>-2.0625</v>
      </c>
      <c r="BE295" s="10">
        <v>7.10407218579107</v>
      </c>
      <c r="BF295" s="6">
        <v>27.344259999999998</v>
      </c>
      <c r="BG295" s="6">
        <v>29.360189999999999</v>
      </c>
      <c r="BH295" s="6">
        <v>0.60955800000000004</v>
      </c>
      <c r="BI295" s="6">
        <v>0</v>
      </c>
      <c r="BJ295" s="6"/>
      <c r="BK295" s="6" t="s">
        <v>67</v>
      </c>
      <c r="BL295" s="6" t="s">
        <v>68</v>
      </c>
      <c r="BM295" s="6" t="s">
        <v>69</v>
      </c>
      <c r="BN295" s="6" t="s">
        <v>70</v>
      </c>
    </row>
    <row r="296" spans="1:66">
      <c r="A296" s="1" t="s">
        <v>406</v>
      </c>
      <c r="B296" s="1">
        <v>2013</v>
      </c>
      <c r="C296" s="1" t="s">
        <v>87</v>
      </c>
      <c r="D296" s="1">
        <v>2881583</v>
      </c>
      <c r="E296" s="1">
        <v>5750703</v>
      </c>
      <c r="F296" s="1">
        <v>8730272</v>
      </c>
      <c r="G296" s="1">
        <v>5005166</v>
      </c>
      <c r="H296" s="2">
        <f>SUM(F296:G296)</f>
        <v>13735438</v>
      </c>
      <c r="I296" s="2">
        <f>H296+E296</f>
        <v>19486141</v>
      </c>
      <c r="J296" s="1">
        <v>22390147</v>
      </c>
      <c r="K296" s="2">
        <f>SUM(D296:G296)</f>
        <v>22367724</v>
      </c>
      <c r="L296" s="1">
        <v>44757871</v>
      </c>
      <c r="M296" s="1">
        <v>13979869</v>
      </c>
      <c r="N296" s="1">
        <v>24778885</v>
      </c>
      <c r="O296" s="4">
        <f>SUM(M296:N296)</f>
        <v>38758754</v>
      </c>
      <c r="P296" s="1">
        <v>8370673</v>
      </c>
      <c r="Q296" s="4">
        <f>SUM(O296:P296)</f>
        <v>47129427</v>
      </c>
      <c r="R296" s="1">
        <v>5834061</v>
      </c>
      <c r="S296" s="1">
        <v>16118302</v>
      </c>
      <c r="T296" s="4">
        <f>SUM(R296:S296)</f>
        <v>21952363</v>
      </c>
      <c r="U296" s="1">
        <v>69081790</v>
      </c>
      <c r="V296" s="1">
        <v>2013</v>
      </c>
      <c r="W296" s="8">
        <v>25979949</v>
      </c>
      <c r="X296" s="1">
        <v>0.68799999999999994</v>
      </c>
      <c r="Y296" s="1">
        <v>1</v>
      </c>
      <c r="Z296" s="1">
        <v>0</v>
      </c>
      <c r="AA296" s="1">
        <v>123600000</v>
      </c>
      <c r="AB296" s="1">
        <v>2.3313778317152103E-2</v>
      </c>
      <c r="AC296" s="1">
        <v>4.6526723300970872E-2</v>
      </c>
      <c r="AD296" s="1">
        <v>7.0633268608414235E-2</v>
      </c>
      <c r="AE296" s="1">
        <v>4.0494870550161814E-2</v>
      </c>
      <c r="AF296" s="2">
        <f>SUM(AD296:AE296)</f>
        <v>0.11112813915857606</v>
      </c>
      <c r="AG296" s="2">
        <f>AF296+AC296</f>
        <v>0.15765486245954694</v>
      </c>
      <c r="AH296" s="1">
        <v>0.1811500566343042</v>
      </c>
      <c r="AI296" s="2">
        <f>SUM(AB296:AE296)</f>
        <v>0.18096864077669902</v>
      </c>
      <c r="AJ296" s="1">
        <v>0.1131057362459547</v>
      </c>
      <c r="AK296" s="1">
        <v>0.20047641585760517</v>
      </c>
      <c r="AL296" s="4">
        <f>SUM(AJ296:AK296)</f>
        <v>0.31358215210355989</v>
      </c>
      <c r="AM296" s="1">
        <v>6.7723891585760518E-2</v>
      </c>
      <c r="AN296" s="4">
        <f>SUM(AL296:AM296)</f>
        <v>0.38130604368932042</v>
      </c>
      <c r="AO296" s="1">
        <v>4.7201140776699027E-2</v>
      </c>
      <c r="AP296" s="1">
        <v>0.13040697411003235</v>
      </c>
      <c r="AQ296" s="4">
        <f>SUM(AO296:AP296)</f>
        <v>0.17760811488673139</v>
      </c>
      <c r="AR296" s="1">
        <v>0.55891415857605176</v>
      </c>
      <c r="AS296" s="1">
        <v>0.36211869741100322</v>
      </c>
      <c r="AT296" s="1">
        <v>7.8967144012945023E-2</v>
      </c>
      <c r="AU296" s="1">
        <f t="shared" si="70"/>
        <v>0.21019376213592234</v>
      </c>
      <c r="AV296" s="1">
        <v>11</v>
      </c>
      <c r="AW296">
        <v>430</v>
      </c>
      <c r="AX296">
        <v>305</v>
      </c>
      <c r="AY296" s="6">
        <v>6</v>
      </c>
      <c r="AZ296" s="6">
        <v>5</v>
      </c>
      <c r="BA296" s="11">
        <f t="shared" si="71"/>
        <v>26.875</v>
      </c>
      <c r="BB296">
        <f t="shared" si="72"/>
        <v>19.0625</v>
      </c>
      <c r="BC296">
        <f t="shared" si="73"/>
        <v>125</v>
      </c>
      <c r="BD296">
        <f t="shared" si="74"/>
        <v>7.8125</v>
      </c>
      <c r="BE296" s="10">
        <v>11.6929083871412</v>
      </c>
      <c r="BF296" s="6">
        <v>26.265630000000002</v>
      </c>
      <c r="BG296" s="6">
        <v>27.29494</v>
      </c>
      <c r="BH296" s="6">
        <v>0.56297200000000003</v>
      </c>
      <c r="BI296" s="6">
        <v>0</v>
      </c>
      <c r="BJ296" s="6"/>
      <c r="BK296" s="6" t="s">
        <v>73</v>
      </c>
      <c r="BL296" s="6" t="s">
        <v>74</v>
      </c>
      <c r="BM296" s="6" t="s">
        <v>75</v>
      </c>
      <c r="BN296" s="6" t="s">
        <v>75</v>
      </c>
    </row>
    <row r="297" spans="1:66">
      <c r="A297" s="1" t="s">
        <v>407</v>
      </c>
      <c r="B297" s="1">
        <v>2013</v>
      </c>
      <c r="C297" s="1" t="s">
        <v>89</v>
      </c>
      <c r="D297" s="1">
        <v>4171299</v>
      </c>
      <c r="E297" s="1">
        <v>2200883</v>
      </c>
      <c r="F297" s="1">
        <v>5666354</v>
      </c>
      <c r="G297" s="1">
        <v>2620527</v>
      </c>
      <c r="H297" s="2">
        <f>SUM(F297:G297)</f>
        <v>8286881</v>
      </c>
      <c r="I297" s="2">
        <f>H297+E297</f>
        <v>10487764</v>
      </c>
      <c r="J297" s="1">
        <v>23789034</v>
      </c>
      <c r="K297" s="2">
        <f>SUM(D297:G297)</f>
        <v>14659063</v>
      </c>
      <c r="L297" s="1">
        <v>38448097</v>
      </c>
      <c r="M297" s="1">
        <v>19697955</v>
      </c>
      <c r="N297" s="1">
        <v>14276906</v>
      </c>
      <c r="O297" s="4">
        <f>SUM(M297:N297)</f>
        <v>33974861</v>
      </c>
      <c r="P297" s="1">
        <v>7765000</v>
      </c>
      <c r="Q297" s="4">
        <f>SUM(O297:P297)</f>
        <v>41739861</v>
      </c>
      <c r="R297" s="1">
        <v>2500318</v>
      </c>
      <c r="S297" s="1">
        <v>10928931</v>
      </c>
      <c r="T297" s="4">
        <f>SUM(R297:S297)</f>
        <v>13429249</v>
      </c>
      <c r="U297" s="1">
        <v>55169110</v>
      </c>
      <c r="V297" s="1">
        <v>2013</v>
      </c>
      <c r="W297" s="8">
        <v>14954250</v>
      </c>
      <c r="X297" s="1">
        <v>0.25</v>
      </c>
      <c r="Y297" s="1">
        <v>0</v>
      </c>
      <c r="Z297" s="1">
        <v>0</v>
      </c>
      <c r="AA297" s="1">
        <v>123600000</v>
      </c>
      <c r="AB297" s="1">
        <v>3.374837378640777E-2</v>
      </c>
      <c r="AC297" s="1">
        <v>1.7806496763754044E-2</v>
      </c>
      <c r="AD297" s="1">
        <v>4.5844288025889968E-2</v>
      </c>
      <c r="AE297" s="1">
        <v>2.1201674757281554E-2</v>
      </c>
      <c r="AF297" s="2">
        <f>SUM(AD297:AE297)</f>
        <v>6.7045962783171514E-2</v>
      </c>
      <c r="AG297" s="2">
        <f>AF297+AC297</f>
        <v>8.4852459546925552E-2</v>
      </c>
      <c r="AH297" s="1">
        <v>0.19246791262135923</v>
      </c>
      <c r="AI297" s="2">
        <f>SUM(AB297:AE297)</f>
        <v>0.11860083333333332</v>
      </c>
      <c r="AJ297" s="1">
        <v>0.15936856796116505</v>
      </c>
      <c r="AK297" s="1">
        <v>0.11550894822006473</v>
      </c>
      <c r="AL297" s="4">
        <f>SUM(AJ297:AK297)</f>
        <v>0.2748775161812298</v>
      </c>
      <c r="AM297" s="1">
        <v>6.2823624595469252E-2</v>
      </c>
      <c r="AN297" s="4">
        <f>SUM(AL297:AM297)</f>
        <v>0.33770114077669905</v>
      </c>
      <c r="AO297" s="1">
        <v>2.0229110032362458E-2</v>
      </c>
      <c r="AP297" s="1">
        <v>8.8421771844660199E-2</v>
      </c>
      <c r="AQ297" s="4">
        <f>SUM(AO297:AP297)</f>
        <v>0.10865088187702265</v>
      </c>
      <c r="AR297" s="1">
        <v>0.4463520226537217</v>
      </c>
      <c r="AS297" s="1">
        <v>0.31106874595469258</v>
      </c>
      <c r="AT297" s="1">
        <v>0.24257923139158577</v>
      </c>
      <c r="AU297" s="1">
        <f t="shared" si="70"/>
        <v>0.12098907766990291</v>
      </c>
      <c r="AV297" s="1">
        <v>4</v>
      </c>
      <c r="AW297">
        <v>308</v>
      </c>
      <c r="AX297">
        <v>406</v>
      </c>
      <c r="AY297" s="6">
        <v>27</v>
      </c>
      <c r="AZ297" s="6">
        <v>23</v>
      </c>
      <c r="BA297" s="11">
        <f t="shared" si="71"/>
        <v>19.25</v>
      </c>
      <c r="BB297">
        <f t="shared" si="72"/>
        <v>25.375</v>
      </c>
      <c r="BC297">
        <f t="shared" si="73"/>
        <v>-98</v>
      </c>
      <c r="BD297">
        <f t="shared" si="74"/>
        <v>-6.125</v>
      </c>
      <c r="BE297" s="10">
        <v>5.2162598244761602</v>
      </c>
      <c r="BF297" s="6">
        <v>25.22034</v>
      </c>
      <c r="BG297" s="6">
        <v>26.632739999999998</v>
      </c>
      <c r="BH297" s="6">
        <v>0.63124899999999995</v>
      </c>
      <c r="BI297" s="6">
        <v>0</v>
      </c>
      <c r="BJ297" s="6"/>
      <c r="BK297" s="6" t="s">
        <v>73</v>
      </c>
      <c r="BL297" s="6" t="s">
        <v>96</v>
      </c>
      <c r="BM297" s="6" t="s">
        <v>93</v>
      </c>
      <c r="BN297" s="6" t="s">
        <v>93</v>
      </c>
    </row>
    <row r="298" spans="1:66">
      <c r="A298" s="1" t="s">
        <v>408</v>
      </c>
      <c r="B298" s="1">
        <v>2013</v>
      </c>
      <c r="C298" s="1" t="s">
        <v>91</v>
      </c>
      <c r="D298" s="1">
        <v>13818982</v>
      </c>
      <c r="E298" s="1">
        <v>2257011</v>
      </c>
      <c r="F298" s="1">
        <v>8120768</v>
      </c>
      <c r="G298" s="1">
        <v>5623758</v>
      </c>
      <c r="H298" s="2">
        <f>SUM(F298:G298)</f>
        <v>13744526</v>
      </c>
      <c r="I298" s="2">
        <f>H298+E298</f>
        <v>16001537</v>
      </c>
      <c r="J298" s="1">
        <v>19470710</v>
      </c>
      <c r="K298" s="2">
        <f>SUM(D298:G298)</f>
        <v>29820519</v>
      </c>
      <c r="L298" s="1">
        <v>49291229</v>
      </c>
      <c r="M298" s="1">
        <v>4133225</v>
      </c>
      <c r="N298" s="1">
        <v>20864805</v>
      </c>
      <c r="O298" s="4">
        <f>SUM(M298:N298)</f>
        <v>24998030</v>
      </c>
      <c r="P298" s="1">
        <v>7285429</v>
      </c>
      <c r="Q298" s="4">
        <f>SUM(O298:P298)</f>
        <v>32283459</v>
      </c>
      <c r="R298" s="1">
        <v>3626564</v>
      </c>
      <c r="S298" s="1">
        <v>12623808</v>
      </c>
      <c r="T298" s="4">
        <f>SUM(R298:S298)</f>
        <v>16250372</v>
      </c>
      <c r="U298" s="1">
        <v>48533831</v>
      </c>
      <c r="V298" s="1">
        <v>2013</v>
      </c>
      <c r="W298" s="8">
        <v>27809946</v>
      </c>
      <c r="X298" s="1">
        <v>0.5</v>
      </c>
      <c r="Y298" s="1">
        <v>0</v>
      </c>
      <c r="Z298" s="1">
        <v>0</v>
      </c>
      <c r="AA298" s="1">
        <v>123600000</v>
      </c>
      <c r="AB298" s="1">
        <v>0.11180406148867314</v>
      </c>
      <c r="AC298" s="1">
        <v>1.8260606796116505E-2</v>
      </c>
      <c r="AD298" s="1">
        <v>6.5702006472491914E-2</v>
      </c>
      <c r="AE298" s="1">
        <v>4.5499660194174757E-2</v>
      </c>
      <c r="AF298" s="2">
        <f>SUM(AD298:AE298)</f>
        <v>0.11120166666666667</v>
      </c>
      <c r="AG298" s="2">
        <f>AF298+AC298</f>
        <v>0.12946227346278316</v>
      </c>
      <c r="AH298" s="1">
        <v>0.15753001618122978</v>
      </c>
      <c r="AI298" s="2">
        <f>SUM(AB298:AE298)</f>
        <v>0.2412663349514563</v>
      </c>
      <c r="AJ298" s="1">
        <v>3.3440331715210353E-2</v>
      </c>
      <c r="AK298" s="1">
        <v>0.16880910194174759</v>
      </c>
      <c r="AL298" s="4">
        <f>SUM(AJ298:AK298)</f>
        <v>0.20224943365695794</v>
      </c>
      <c r="AM298" s="1">
        <v>5.8943600323624598E-2</v>
      </c>
      <c r="AN298" s="4">
        <f>SUM(AL298:AM298)</f>
        <v>0.26119303398058252</v>
      </c>
      <c r="AO298" s="1">
        <v>2.9341132686084143E-2</v>
      </c>
      <c r="AP298" s="1">
        <v>0.10213436893203884</v>
      </c>
      <c r="AQ298" s="4">
        <f>SUM(AO298:AP298)</f>
        <v>0.13147550161812299</v>
      </c>
      <c r="AR298" s="1">
        <v>0.39266853559870551</v>
      </c>
      <c r="AS298" s="1">
        <v>0.39879635113268608</v>
      </c>
      <c r="AT298" s="1">
        <v>0.20853511326860841</v>
      </c>
      <c r="AU298" s="1">
        <f t="shared" si="70"/>
        <v>0.22499956310679611</v>
      </c>
      <c r="AV298" s="1">
        <v>8</v>
      </c>
      <c r="AW298">
        <v>439</v>
      </c>
      <c r="AX298">
        <v>432</v>
      </c>
      <c r="AY298" s="6">
        <v>5</v>
      </c>
      <c r="AZ298" s="6">
        <v>26</v>
      </c>
      <c r="BA298" s="11">
        <f t="shared" si="71"/>
        <v>27.4375</v>
      </c>
      <c r="BB298">
        <f t="shared" si="72"/>
        <v>27</v>
      </c>
      <c r="BC298">
        <f t="shared" si="73"/>
        <v>7</v>
      </c>
      <c r="BD298">
        <f t="shared" si="74"/>
        <v>0.4375</v>
      </c>
      <c r="BE298" s="10">
        <v>8.2658028696771595</v>
      </c>
      <c r="BF298" s="6">
        <v>26.209679999999999</v>
      </c>
      <c r="BG298" s="6">
        <v>28.11523</v>
      </c>
      <c r="BH298" s="6">
        <v>0.61907100000000004</v>
      </c>
      <c r="BI298" s="6">
        <v>0</v>
      </c>
      <c r="BJ298" s="6"/>
      <c r="BK298" s="6" t="s">
        <v>80</v>
      </c>
      <c r="BL298" s="6" t="s">
        <v>68</v>
      </c>
      <c r="BM298" s="6" t="s">
        <v>92</v>
      </c>
      <c r="BN298" s="6" t="s">
        <v>70</v>
      </c>
    </row>
    <row r="299" spans="1:66">
      <c r="A299" s="1" t="s">
        <v>409</v>
      </c>
      <c r="B299" s="1">
        <v>2013</v>
      </c>
      <c r="C299" s="1" t="s">
        <v>95</v>
      </c>
      <c r="D299" s="1">
        <v>18716295</v>
      </c>
      <c r="E299" s="1">
        <v>5070632</v>
      </c>
      <c r="F299" s="1">
        <v>10120554</v>
      </c>
      <c r="G299" s="1">
        <v>8013902</v>
      </c>
      <c r="H299" s="2">
        <f>SUM(F299:G299)</f>
        <v>18134456</v>
      </c>
      <c r="I299" s="2">
        <f>H299+E299</f>
        <v>23205088</v>
      </c>
      <c r="J299" s="1">
        <v>25550424</v>
      </c>
      <c r="K299" s="2">
        <f>SUM(D299:G299)</f>
        <v>41921383</v>
      </c>
      <c r="L299" s="1">
        <v>67471807</v>
      </c>
      <c r="M299" s="1">
        <v>6880138</v>
      </c>
      <c r="N299" s="1">
        <v>10234767</v>
      </c>
      <c r="O299" s="4">
        <f>SUM(M299:N299)</f>
        <v>17114905</v>
      </c>
      <c r="P299" s="1">
        <v>8030669</v>
      </c>
      <c r="Q299" s="4">
        <f>SUM(O299:P299)</f>
        <v>25145574</v>
      </c>
      <c r="R299" s="1">
        <v>5894346</v>
      </c>
      <c r="S299" s="1">
        <v>17559225</v>
      </c>
      <c r="T299" s="4">
        <f>SUM(R299:S299)</f>
        <v>23453571</v>
      </c>
      <c r="U299" s="1">
        <v>48599145</v>
      </c>
      <c r="V299" s="1">
        <v>2013</v>
      </c>
      <c r="W299" s="8">
        <v>24747756</v>
      </c>
      <c r="X299" s="1">
        <v>0.81299999999999994</v>
      </c>
      <c r="Y299" s="1">
        <v>1</v>
      </c>
      <c r="Z299" s="1">
        <v>0</v>
      </c>
      <c r="AA299" s="1">
        <v>123600000</v>
      </c>
      <c r="AB299" s="1">
        <v>0.1514263349514563</v>
      </c>
      <c r="AC299" s="1">
        <v>4.1024530744336568E-2</v>
      </c>
      <c r="AD299" s="1">
        <v>8.1881504854368931E-2</v>
      </c>
      <c r="AE299" s="1">
        <v>6.4837394822006469E-2</v>
      </c>
      <c r="AF299" s="2">
        <f>SUM(AD299:AE299)</f>
        <v>0.14671889967637541</v>
      </c>
      <c r="AG299" s="2">
        <f>AF299+AC299</f>
        <v>0.18774343042071198</v>
      </c>
      <c r="AH299" s="1">
        <v>0.20671864077669902</v>
      </c>
      <c r="AI299" s="2">
        <f>SUM(AB299:AE299)</f>
        <v>0.33916976537216825</v>
      </c>
      <c r="AJ299" s="1">
        <v>5.5664546925566341E-2</v>
      </c>
      <c r="AK299" s="1">
        <v>8.2805558252427178E-2</v>
      </c>
      <c r="AL299" s="4">
        <f>SUM(AJ299:AK299)</f>
        <v>0.13847010517799352</v>
      </c>
      <c r="AM299" s="1">
        <v>6.4973050161812304E-2</v>
      </c>
      <c r="AN299" s="4">
        <f>SUM(AL299:AM299)</f>
        <v>0.20344315533980584</v>
      </c>
      <c r="AO299" s="1">
        <v>4.7688883495145634E-2</v>
      </c>
      <c r="AP299" s="1">
        <v>0.14206492718446603</v>
      </c>
      <c r="AQ299" s="4">
        <f>SUM(AO299:AP299)</f>
        <v>0.18975381067961167</v>
      </c>
      <c r="AR299" s="1">
        <v>0.39319696601941745</v>
      </c>
      <c r="AS299" s="1">
        <v>0.54588840614886736</v>
      </c>
      <c r="AT299" s="1">
        <v>6.0914627831715196E-2</v>
      </c>
      <c r="AU299" s="1">
        <f t="shared" si="70"/>
        <v>0.20022456310679612</v>
      </c>
      <c r="AV299" s="1">
        <v>13</v>
      </c>
      <c r="AW299">
        <v>606</v>
      </c>
      <c r="AX299">
        <v>399</v>
      </c>
      <c r="AY299" s="6">
        <v>1</v>
      </c>
      <c r="AZ299" s="6">
        <v>22</v>
      </c>
      <c r="BA299" s="11">
        <f t="shared" si="71"/>
        <v>37.875</v>
      </c>
      <c r="BB299">
        <f t="shared" si="72"/>
        <v>24.9375</v>
      </c>
      <c r="BC299">
        <f t="shared" si="73"/>
        <v>207</v>
      </c>
      <c r="BD299">
        <f t="shared" si="74"/>
        <v>12.9375</v>
      </c>
      <c r="BE299" s="10">
        <v>14.074456289107699</v>
      </c>
      <c r="BF299" s="6">
        <v>26.952380000000002</v>
      </c>
      <c r="BG299" s="6">
        <v>29.58541</v>
      </c>
      <c r="BH299" s="6">
        <v>0.56266000000000005</v>
      </c>
      <c r="BI299" s="6">
        <v>0</v>
      </c>
      <c r="BJ299" s="6"/>
      <c r="BK299" s="6" t="s">
        <v>67</v>
      </c>
      <c r="BL299" s="6" t="s">
        <v>74</v>
      </c>
      <c r="BM299" s="6" t="s">
        <v>102</v>
      </c>
      <c r="BN299" s="6" t="s">
        <v>70</v>
      </c>
    </row>
    <row r="300" spans="1:66">
      <c r="A300" s="1" t="s">
        <v>410</v>
      </c>
      <c r="B300" s="1">
        <v>2013</v>
      </c>
      <c r="C300" s="1" t="s">
        <v>98</v>
      </c>
      <c r="D300" s="1">
        <v>21556666</v>
      </c>
      <c r="E300" s="1">
        <v>3987009</v>
      </c>
      <c r="F300" s="1">
        <v>15383546</v>
      </c>
      <c r="G300" s="1">
        <v>4207277</v>
      </c>
      <c r="H300" s="2">
        <f>SUM(F300:G300)</f>
        <v>19590823</v>
      </c>
      <c r="I300" s="2">
        <f>H300+E300</f>
        <v>23577832</v>
      </c>
      <c r="J300" s="1">
        <v>12601451</v>
      </c>
      <c r="K300" s="2">
        <f>SUM(D300:G300)</f>
        <v>45134498</v>
      </c>
      <c r="L300" s="1">
        <v>57735949</v>
      </c>
      <c r="M300" s="1">
        <v>14671559</v>
      </c>
      <c r="N300" s="1">
        <v>7814297</v>
      </c>
      <c r="O300" s="4">
        <f>SUM(M300:N300)</f>
        <v>22485856</v>
      </c>
      <c r="P300" s="1">
        <v>10468126</v>
      </c>
      <c r="Q300" s="4">
        <f>SUM(O300:P300)</f>
        <v>32953982</v>
      </c>
      <c r="R300" s="1">
        <v>4758334</v>
      </c>
      <c r="S300" s="1">
        <v>6133807</v>
      </c>
      <c r="T300" s="4">
        <f>SUM(R300:S300)</f>
        <v>10892141</v>
      </c>
      <c r="U300" s="1">
        <v>43846123</v>
      </c>
      <c r="V300" s="1">
        <v>2013</v>
      </c>
      <c r="W300" s="8">
        <v>8997466</v>
      </c>
      <c r="X300" s="1">
        <v>0.438</v>
      </c>
      <c r="Y300" s="1">
        <v>0</v>
      </c>
      <c r="Z300" s="1">
        <v>0</v>
      </c>
      <c r="AA300" s="1">
        <v>123600000</v>
      </c>
      <c r="AB300" s="1">
        <v>0.17440668284789643</v>
      </c>
      <c r="AC300" s="1">
        <v>3.225735436893204E-2</v>
      </c>
      <c r="AD300" s="1">
        <v>0.12446234627831715</v>
      </c>
      <c r="AE300" s="1">
        <v>3.4039457928802586E-2</v>
      </c>
      <c r="AF300" s="2">
        <f>SUM(AD300:AE300)</f>
        <v>0.15850180420711973</v>
      </c>
      <c r="AG300" s="2">
        <f>AF300+AC300</f>
        <v>0.19075915857605177</v>
      </c>
      <c r="AH300" s="1">
        <v>0.10195348705501618</v>
      </c>
      <c r="AI300" s="2">
        <f>SUM(AB300:AE300)</f>
        <v>0.3651658414239482</v>
      </c>
      <c r="AJ300" s="1">
        <v>0.11870193365695793</v>
      </c>
      <c r="AK300" s="1">
        <v>6.3222467637540455E-2</v>
      </c>
      <c r="AL300" s="4">
        <f>SUM(AJ300:AK300)</f>
        <v>0.18192440129449838</v>
      </c>
      <c r="AM300" s="1">
        <v>8.4693576051779934E-2</v>
      </c>
      <c r="AN300" s="4">
        <f>SUM(AL300:AM300)</f>
        <v>0.26661797734627835</v>
      </c>
      <c r="AO300" s="1">
        <v>3.8497847896440132E-2</v>
      </c>
      <c r="AP300" s="1">
        <v>4.962627022653722E-2</v>
      </c>
      <c r="AQ300" s="4">
        <f>SUM(AO300:AP300)</f>
        <v>8.8124118122977352E-2</v>
      </c>
      <c r="AR300" s="1">
        <v>0.35474209546925567</v>
      </c>
      <c r="AS300" s="1">
        <v>0.46711932847896442</v>
      </c>
      <c r="AT300" s="1">
        <v>0.17813857605177996</v>
      </c>
      <c r="AU300" s="1">
        <f t="shared" si="70"/>
        <v>7.2795032362459544E-2</v>
      </c>
      <c r="AV300" s="1">
        <v>7</v>
      </c>
      <c r="AW300">
        <v>395</v>
      </c>
      <c r="AX300">
        <v>376</v>
      </c>
      <c r="AY300" s="6">
        <v>13</v>
      </c>
      <c r="AZ300" s="6">
        <v>15</v>
      </c>
      <c r="BA300" s="11">
        <f t="shared" si="71"/>
        <v>24.6875</v>
      </c>
      <c r="BB300">
        <f t="shared" si="72"/>
        <v>23.5</v>
      </c>
      <c r="BC300">
        <f t="shared" si="73"/>
        <v>19</v>
      </c>
      <c r="BD300">
        <f t="shared" si="74"/>
        <v>1.1875</v>
      </c>
      <c r="BE300" s="10">
        <v>8.6143220748429901</v>
      </c>
      <c r="BF300" s="6">
        <v>26.838709999999999</v>
      </c>
      <c r="BG300" s="6">
        <v>27.26972</v>
      </c>
      <c r="BH300" s="6">
        <v>0.60323099999999996</v>
      </c>
      <c r="BI300" s="6">
        <v>0</v>
      </c>
      <c r="BJ300" s="6"/>
      <c r="BK300" s="6" t="s">
        <v>73</v>
      </c>
      <c r="BL300" s="6" t="s">
        <v>68</v>
      </c>
      <c r="BM300" s="6" t="s">
        <v>99</v>
      </c>
      <c r="BN300" s="6" t="s">
        <v>93</v>
      </c>
    </row>
    <row r="301" spans="1:66">
      <c r="A301" s="1" t="s">
        <v>411</v>
      </c>
      <c r="B301" s="1">
        <v>2013</v>
      </c>
      <c r="C301" s="1" t="s">
        <v>101</v>
      </c>
      <c r="D301" s="1">
        <v>13013000</v>
      </c>
      <c r="E301" s="1">
        <v>2429420</v>
      </c>
      <c r="F301" s="1">
        <v>10223980</v>
      </c>
      <c r="G301" s="1">
        <v>11341695</v>
      </c>
      <c r="H301" s="2">
        <f>SUM(F301:G301)</f>
        <v>21565675</v>
      </c>
      <c r="I301" s="2">
        <f>H301+E301</f>
        <v>23995095</v>
      </c>
      <c r="J301" s="1">
        <v>17211503</v>
      </c>
      <c r="K301" s="2">
        <f>SUM(D301:G301)</f>
        <v>37008095</v>
      </c>
      <c r="L301" s="1">
        <v>54219598</v>
      </c>
      <c r="M301" s="1">
        <v>15831195</v>
      </c>
      <c r="N301" s="1">
        <v>12650974</v>
      </c>
      <c r="O301" s="4">
        <f>SUM(M301:N301)</f>
        <v>28482169</v>
      </c>
      <c r="P301" s="1">
        <v>9100786</v>
      </c>
      <c r="Q301" s="4">
        <f>SUM(O301:P301)</f>
        <v>37582955</v>
      </c>
      <c r="R301" s="1">
        <v>4969273</v>
      </c>
      <c r="S301" s="1">
        <v>13957143</v>
      </c>
      <c r="T301" s="4">
        <f>SUM(R301:S301)</f>
        <v>18926416</v>
      </c>
      <c r="U301" s="1">
        <v>56509371</v>
      </c>
      <c r="V301" s="1">
        <v>2013</v>
      </c>
      <c r="W301" s="8">
        <v>16836700</v>
      </c>
      <c r="X301" s="1">
        <v>0.53100000000000003</v>
      </c>
      <c r="Y301" s="1">
        <v>1</v>
      </c>
      <c r="Z301" s="1">
        <v>0</v>
      </c>
      <c r="AA301" s="1">
        <v>123600000</v>
      </c>
      <c r="AB301" s="1">
        <v>0.1052831715210356</v>
      </c>
      <c r="AC301" s="1">
        <v>1.9655501618122979E-2</v>
      </c>
      <c r="AD301" s="1">
        <v>8.271828478964402E-2</v>
      </c>
      <c r="AE301" s="1">
        <v>9.1761286407766984E-2</v>
      </c>
      <c r="AF301" s="2">
        <f>SUM(AD301:AE301)</f>
        <v>0.174479571197411</v>
      </c>
      <c r="AG301" s="2">
        <f>AF301+AC301</f>
        <v>0.19413507281553399</v>
      </c>
      <c r="AH301" s="1">
        <v>0.13925164239482202</v>
      </c>
      <c r="AI301" s="2">
        <f>SUM(AB301:AE301)</f>
        <v>0.29941824433656961</v>
      </c>
      <c r="AJ301" s="1">
        <v>0.12808410194174757</v>
      </c>
      <c r="AK301" s="1">
        <v>0.10235415857605178</v>
      </c>
      <c r="AL301" s="4">
        <f>SUM(AJ301:AK301)</f>
        <v>0.23043826051779936</v>
      </c>
      <c r="AM301" s="1">
        <v>7.3630954692556635E-2</v>
      </c>
      <c r="AN301" s="4">
        <f>SUM(AL301:AM301)</f>
        <v>0.30406921521035601</v>
      </c>
      <c r="AO301" s="1">
        <v>4.0204474110032362E-2</v>
      </c>
      <c r="AP301" s="1">
        <v>0.11292186893203883</v>
      </c>
      <c r="AQ301" s="4">
        <f>SUM(AO301:AP301)</f>
        <v>0.15312634304207118</v>
      </c>
      <c r="AR301" s="1">
        <v>0.45719555825242719</v>
      </c>
      <c r="AS301" s="1">
        <v>0.43866988673139157</v>
      </c>
      <c r="AT301" s="1">
        <v>0.10413455501618119</v>
      </c>
      <c r="AU301" s="1">
        <f t="shared" si="70"/>
        <v>0.13621925566343043</v>
      </c>
      <c r="AV301" s="1">
        <v>8</v>
      </c>
      <c r="AW301">
        <v>417</v>
      </c>
      <c r="AX301">
        <v>428</v>
      </c>
      <c r="AY301" s="6">
        <v>8</v>
      </c>
      <c r="AZ301" s="6">
        <v>24</v>
      </c>
      <c r="BA301" s="11">
        <f t="shared" si="71"/>
        <v>26.0625</v>
      </c>
      <c r="BB301">
        <f t="shared" si="72"/>
        <v>26.75</v>
      </c>
      <c r="BC301">
        <f t="shared" si="73"/>
        <v>-11</v>
      </c>
      <c r="BD301">
        <f t="shared" si="74"/>
        <v>-0.6875</v>
      </c>
      <c r="BE301" s="10">
        <v>7.7430240619284199</v>
      </c>
      <c r="BF301" s="6">
        <v>25.597010000000001</v>
      </c>
      <c r="BG301" s="6">
        <v>27.424520000000001</v>
      </c>
      <c r="BH301" s="6">
        <v>0.594472</v>
      </c>
      <c r="BI301" s="6">
        <v>0</v>
      </c>
      <c r="BJ301" s="6"/>
      <c r="BK301" s="6" t="s">
        <v>73</v>
      </c>
      <c r="BL301" s="6" t="s">
        <v>68</v>
      </c>
      <c r="BM301" s="6" t="s">
        <v>99</v>
      </c>
      <c r="BN301" s="6" t="s">
        <v>93</v>
      </c>
    </row>
    <row r="302" spans="1:66">
      <c r="A302" s="1" t="s">
        <v>412</v>
      </c>
      <c r="B302" s="1">
        <v>2013</v>
      </c>
      <c r="C302" s="1" t="s">
        <v>104</v>
      </c>
      <c r="D302" s="1">
        <v>11756250</v>
      </c>
      <c r="E302" s="1">
        <v>10825134</v>
      </c>
      <c r="F302" s="1">
        <v>14247672</v>
      </c>
      <c r="G302" s="1">
        <v>6948519</v>
      </c>
      <c r="H302" s="2">
        <f>SUM(F302:G302)</f>
        <v>21196191</v>
      </c>
      <c r="I302" s="2">
        <f>H302+E302</f>
        <v>32021325</v>
      </c>
      <c r="J302" s="1">
        <v>18690874</v>
      </c>
      <c r="K302" s="2">
        <f>SUM(D302:G302)</f>
        <v>43777575</v>
      </c>
      <c r="L302" s="1">
        <v>62468449</v>
      </c>
      <c r="M302" s="1">
        <v>15386734</v>
      </c>
      <c r="N302" s="1">
        <v>3770636</v>
      </c>
      <c r="O302" s="4">
        <f>SUM(M302:N302)</f>
        <v>19157370</v>
      </c>
      <c r="P302" s="1">
        <v>7593313</v>
      </c>
      <c r="Q302" s="4">
        <f>SUM(O302:P302)</f>
        <v>26750683</v>
      </c>
      <c r="R302" s="1">
        <v>7816547</v>
      </c>
      <c r="S302" s="1">
        <v>16655776</v>
      </c>
      <c r="T302" s="4">
        <f>SUM(R302:S302)</f>
        <v>24472323</v>
      </c>
      <c r="U302" s="1">
        <v>51223006</v>
      </c>
      <c r="V302" s="1">
        <v>2013</v>
      </c>
      <c r="W302" s="8">
        <v>39491632</v>
      </c>
      <c r="X302" s="1">
        <v>0.125</v>
      </c>
      <c r="Y302" s="1">
        <v>0</v>
      </c>
      <c r="Z302" s="1">
        <v>0</v>
      </c>
      <c r="AA302" s="1">
        <v>123600000</v>
      </c>
      <c r="AB302" s="1">
        <v>9.5115291262135929E-2</v>
      </c>
      <c r="AC302" s="1">
        <v>8.7581990291262138E-2</v>
      </c>
      <c r="AD302" s="1">
        <v>0.11527242718446602</v>
      </c>
      <c r="AE302" s="1">
        <v>5.621779126213592E-2</v>
      </c>
      <c r="AF302" s="2">
        <f>SUM(AD302:AE302)</f>
        <v>0.17149021844660195</v>
      </c>
      <c r="AG302" s="2">
        <f>AF302+AC302</f>
        <v>0.25907220873786407</v>
      </c>
      <c r="AH302" s="1">
        <v>0.1512206634304207</v>
      </c>
      <c r="AI302" s="2">
        <f>SUM(AB302:AE302)</f>
        <v>0.35418750000000004</v>
      </c>
      <c r="AJ302" s="1">
        <v>0.12448813915857605</v>
      </c>
      <c r="AK302" s="1">
        <v>3.0506763754045308E-2</v>
      </c>
      <c r="AL302" s="4">
        <f>SUM(AJ302:AK302)</f>
        <v>0.15499490291262136</v>
      </c>
      <c r="AM302" s="1">
        <v>6.1434571197411005E-2</v>
      </c>
      <c r="AN302" s="4">
        <f>SUM(AL302:AM302)</f>
        <v>0.21642947411003235</v>
      </c>
      <c r="AO302" s="1">
        <v>6.3240671521035602E-2</v>
      </c>
      <c r="AP302" s="1">
        <v>0.13475546925566342</v>
      </c>
      <c r="AQ302" s="4">
        <f>SUM(AO302:AP302)</f>
        <v>0.19799614077669903</v>
      </c>
      <c r="AR302" s="1">
        <v>0.41442561488673141</v>
      </c>
      <c r="AS302" s="1">
        <v>0.50540816343042072</v>
      </c>
      <c r="AT302" s="1">
        <v>8.0166221682847816E-2</v>
      </c>
      <c r="AU302" s="1">
        <f t="shared" si="70"/>
        <v>0.3195115857605178</v>
      </c>
      <c r="AV302" s="1">
        <v>2</v>
      </c>
      <c r="AW302">
        <v>276</v>
      </c>
      <c r="AX302">
        <v>428</v>
      </c>
      <c r="AY302" s="6">
        <v>31</v>
      </c>
      <c r="AZ302" s="6">
        <v>24</v>
      </c>
      <c r="BA302" s="11">
        <f t="shared" si="71"/>
        <v>17.25</v>
      </c>
      <c r="BB302">
        <f t="shared" si="72"/>
        <v>26.75</v>
      </c>
      <c r="BC302">
        <f t="shared" si="73"/>
        <v>-152</v>
      </c>
      <c r="BD302">
        <f t="shared" si="74"/>
        <v>-9.5</v>
      </c>
      <c r="BE302" s="10">
        <v>3.64792340122992</v>
      </c>
      <c r="BF302" s="6">
        <v>25.710139999999999</v>
      </c>
      <c r="BG302" s="6">
        <v>28.83426</v>
      </c>
      <c r="BH302" s="6">
        <v>0.66425999999999996</v>
      </c>
      <c r="BI302" s="6">
        <v>0</v>
      </c>
      <c r="BJ302" s="6"/>
      <c r="BK302" s="6" t="s">
        <v>67</v>
      </c>
      <c r="BL302" s="6" t="s">
        <v>96</v>
      </c>
      <c r="BM302" s="6" t="s">
        <v>70</v>
      </c>
      <c r="BN302" s="6" t="s">
        <v>70</v>
      </c>
    </row>
    <row r="303" spans="1:66">
      <c r="A303" s="1" t="s">
        <v>413</v>
      </c>
      <c r="B303" s="1">
        <v>2013</v>
      </c>
      <c r="C303" s="1" t="s">
        <v>106</v>
      </c>
      <c r="D303" s="1">
        <v>8626545</v>
      </c>
      <c r="E303" s="1">
        <v>7195732</v>
      </c>
      <c r="F303" s="1">
        <v>11908481</v>
      </c>
      <c r="G303" s="1">
        <v>2615661</v>
      </c>
      <c r="H303" s="2">
        <f>SUM(F303:G303)</f>
        <v>14524142</v>
      </c>
      <c r="I303" s="2">
        <f>H303+E303</f>
        <v>21719874</v>
      </c>
      <c r="J303" s="1">
        <v>18601449</v>
      </c>
      <c r="K303" s="2">
        <f>SUM(D303:G303)</f>
        <v>30346419</v>
      </c>
      <c r="L303" s="1">
        <v>48947868</v>
      </c>
      <c r="M303" s="1">
        <v>13140390</v>
      </c>
      <c r="N303" s="1">
        <v>16498650</v>
      </c>
      <c r="O303" s="4">
        <f>SUM(M303:N303)</f>
        <v>29639040</v>
      </c>
      <c r="P303" s="1">
        <v>4492779</v>
      </c>
      <c r="Q303" s="4">
        <f>SUM(O303:P303)</f>
        <v>34131819</v>
      </c>
      <c r="R303" s="1">
        <v>13323235</v>
      </c>
      <c r="S303" s="1">
        <v>9596407</v>
      </c>
      <c r="T303" s="4">
        <f>SUM(R303:S303)</f>
        <v>22919642</v>
      </c>
      <c r="U303" s="1">
        <v>57051461</v>
      </c>
      <c r="V303" s="1">
        <v>2013</v>
      </c>
      <c r="W303" s="8">
        <v>18665904</v>
      </c>
      <c r="X303" s="1">
        <v>0.68799999999999994</v>
      </c>
      <c r="Y303" s="1">
        <v>1</v>
      </c>
      <c r="Z303" s="1">
        <v>0</v>
      </c>
      <c r="AA303" s="1">
        <v>123600000</v>
      </c>
      <c r="AB303" s="1">
        <v>6.9794053398058248E-2</v>
      </c>
      <c r="AC303" s="1">
        <v>5.8217896440129452E-2</v>
      </c>
      <c r="AD303" s="1">
        <v>9.6346933656957928E-2</v>
      </c>
      <c r="AE303" s="1">
        <v>2.1162305825242717E-2</v>
      </c>
      <c r="AF303" s="2">
        <f>SUM(AD303:AE303)</f>
        <v>0.11750923948220064</v>
      </c>
      <c r="AG303" s="2">
        <f>AF303+AC303</f>
        <v>0.17572713592233008</v>
      </c>
      <c r="AH303" s="1">
        <v>0.15049716019417475</v>
      </c>
      <c r="AI303" s="2">
        <f>SUM(AB303:AE303)</f>
        <v>0.24552118932038836</v>
      </c>
      <c r="AJ303" s="1">
        <v>0.10631383495145631</v>
      </c>
      <c r="AK303" s="1">
        <v>0.13348422330097087</v>
      </c>
      <c r="AL303" s="4">
        <f>SUM(AJ303:AK303)</f>
        <v>0.23979805825242717</v>
      </c>
      <c r="AM303" s="1">
        <v>3.6349344660194176E-2</v>
      </c>
      <c r="AN303" s="4">
        <f>SUM(AL303:AM303)</f>
        <v>0.27614740291262135</v>
      </c>
      <c r="AO303" s="1">
        <v>0.10779316343042071</v>
      </c>
      <c r="AP303" s="1">
        <v>7.7640833333333339E-2</v>
      </c>
      <c r="AQ303" s="4">
        <f>SUM(AO303:AP303)</f>
        <v>0.18543399676375405</v>
      </c>
      <c r="AR303" s="1">
        <v>0.4615813996763754</v>
      </c>
      <c r="AS303" s="1">
        <v>0.39601834951456311</v>
      </c>
      <c r="AT303" s="1">
        <v>0.14240025080906149</v>
      </c>
      <c r="AU303" s="1">
        <f t="shared" si="70"/>
        <v>0.15101864077669902</v>
      </c>
      <c r="AV303" s="1">
        <v>11</v>
      </c>
      <c r="AW303">
        <v>391</v>
      </c>
      <c r="AX303">
        <v>336</v>
      </c>
      <c r="AY303" s="6">
        <v>14</v>
      </c>
      <c r="AZ303" s="6">
        <v>9</v>
      </c>
      <c r="BA303" s="11">
        <f t="shared" si="71"/>
        <v>24.4375</v>
      </c>
      <c r="BB303">
        <f t="shared" si="72"/>
        <v>21</v>
      </c>
      <c r="BC303">
        <f t="shared" si="73"/>
        <v>55</v>
      </c>
      <c r="BD303">
        <f t="shared" si="74"/>
        <v>3.4375</v>
      </c>
      <c r="BE303" s="10">
        <v>9.65987969034048</v>
      </c>
      <c r="BF303" s="6">
        <v>26.432839999999999</v>
      </c>
      <c r="BG303" s="6">
        <v>28.859020000000001</v>
      </c>
      <c r="BH303" s="6">
        <v>0.58163399999999998</v>
      </c>
      <c r="BI303" s="6">
        <v>0</v>
      </c>
      <c r="BJ303" s="6"/>
      <c r="BK303" s="6" t="s">
        <v>67</v>
      </c>
      <c r="BL303" s="6" t="s">
        <v>74</v>
      </c>
      <c r="BM303" s="6" t="s">
        <v>102</v>
      </c>
      <c r="BN303" s="6" t="s">
        <v>70</v>
      </c>
    </row>
    <row r="304" spans="1:66">
      <c r="A304" s="1" t="s">
        <v>414</v>
      </c>
      <c r="B304" s="1">
        <v>2013</v>
      </c>
      <c r="C304" s="1" t="s">
        <v>108</v>
      </c>
      <c r="D304" s="1">
        <v>8347588</v>
      </c>
      <c r="E304" s="1">
        <v>9012941</v>
      </c>
      <c r="F304" s="1">
        <v>6832868</v>
      </c>
      <c r="G304" s="1">
        <v>7160882</v>
      </c>
      <c r="H304" s="2">
        <f>SUM(F304:G304)</f>
        <v>13993750</v>
      </c>
      <c r="I304" s="2">
        <f>H304+E304</f>
        <v>23006691</v>
      </c>
      <c r="J304" s="1">
        <v>14812080</v>
      </c>
      <c r="K304" s="2">
        <f>SUM(D304:G304)</f>
        <v>31354279</v>
      </c>
      <c r="L304" s="1">
        <v>46166359</v>
      </c>
      <c r="M304" s="1">
        <v>4612010</v>
      </c>
      <c r="N304" s="1">
        <v>9323215</v>
      </c>
      <c r="O304" s="4">
        <f>SUM(M304:N304)</f>
        <v>13935225</v>
      </c>
      <c r="P304" s="1">
        <v>13544999</v>
      </c>
      <c r="Q304" s="4">
        <f>SUM(O304:P304)</f>
        <v>27480224</v>
      </c>
      <c r="R304" s="1">
        <v>2631626</v>
      </c>
      <c r="S304" s="1">
        <v>3572072</v>
      </c>
      <c r="T304" s="4">
        <f>SUM(R304:S304)</f>
        <v>6203698</v>
      </c>
      <c r="U304" s="1">
        <v>33683922</v>
      </c>
      <c r="V304" s="1">
        <v>2013</v>
      </c>
      <c r="W304" s="8">
        <v>17227369</v>
      </c>
      <c r="X304" s="1">
        <v>0.25</v>
      </c>
      <c r="Y304" s="1">
        <v>0</v>
      </c>
      <c r="Z304" s="1">
        <v>0</v>
      </c>
      <c r="AA304" s="1">
        <v>123600000</v>
      </c>
      <c r="AB304" s="1">
        <v>6.7537119741100327E-2</v>
      </c>
      <c r="AC304" s="1">
        <v>7.2920234627831718E-2</v>
      </c>
      <c r="AD304" s="1">
        <v>5.5282103559870552E-2</v>
      </c>
      <c r="AE304" s="1">
        <v>5.7935938511326862E-2</v>
      </c>
      <c r="AF304" s="2">
        <f>SUM(AD304:AE304)</f>
        <v>0.11321804207119741</v>
      </c>
      <c r="AG304" s="2">
        <f>AF304+AC304</f>
        <v>0.18613827669902913</v>
      </c>
      <c r="AH304" s="1">
        <v>0.11983883495145631</v>
      </c>
      <c r="AI304" s="2">
        <f>SUM(AB304:AE304)</f>
        <v>0.25367539644012949</v>
      </c>
      <c r="AJ304" s="1">
        <v>3.7313996763754048E-2</v>
      </c>
      <c r="AK304" s="1">
        <v>7.5430542071197412E-2</v>
      </c>
      <c r="AL304" s="4">
        <f>SUM(AJ304:AK304)</f>
        <v>0.11274453883495146</v>
      </c>
      <c r="AM304" s="1">
        <v>0.10958737055016181</v>
      </c>
      <c r="AN304" s="4">
        <f>SUM(AL304:AM304)</f>
        <v>0.22233190938511327</v>
      </c>
      <c r="AO304" s="1">
        <v>2.1291472491909384E-2</v>
      </c>
      <c r="AP304" s="1">
        <v>2.8900258899676377E-2</v>
      </c>
      <c r="AQ304" s="4">
        <f>SUM(AO304:AP304)</f>
        <v>5.019173139158576E-2</v>
      </c>
      <c r="AR304" s="1">
        <v>0.27252364077669905</v>
      </c>
      <c r="AS304" s="1">
        <v>0.37351423139158574</v>
      </c>
      <c r="AT304" s="1">
        <v>0.35396212783171521</v>
      </c>
      <c r="AU304" s="1">
        <f t="shared" si="70"/>
        <v>0.13938000809061488</v>
      </c>
      <c r="AV304" s="1">
        <v>4</v>
      </c>
      <c r="AW304">
        <v>247</v>
      </c>
      <c r="AX304">
        <v>449</v>
      </c>
      <c r="AY304" s="6">
        <v>32</v>
      </c>
      <c r="AZ304" s="6">
        <v>28</v>
      </c>
      <c r="BA304" s="11">
        <f t="shared" si="71"/>
        <v>15.4375</v>
      </c>
      <c r="BB304">
        <f t="shared" si="72"/>
        <v>28.0625</v>
      </c>
      <c r="BC304">
        <f t="shared" si="73"/>
        <v>-202</v>
      </c>
      <c r="BD304">
        <f t="shared" si="74"/>
        <v>-12.625</v>
      </c>
      <c r="BE304" s="10">
        <v>2.1957600463723002</v>
      </c>
      <c r="BF304" s="6">
        <v>25.212119999999999</v>
      </c>
      <c r="BG304" s="6">
        <v>27.19136</v>
      </c>
      <c r="BH304" s="6">
        <v>0.61579899999999999</v>
      </c>
      <c r="BI304" s="6">
        <v>0</v>
      </c>
      <c r="BJ304" s="6"/>
      <c r="BK304" s="6" t="s">
        <v>73</v>
      </c>
      <c r="BL304" s="6" t="s">
        <v>68</v>
      </c>
      <c r="BM304" s="6" t="s">
        <v>99</v>
      </c>
      <c r="BN304" s="6" t="s">
        <v>93</v>
      </c>
    </row>
    <row r="305" spans="1:66">
      <c r="A305" s="1" t="s">
        <v>415</v>
      </c>
      <c r="B305" s="1">
        <v>2013</v>
      </c>
      <c r="C305" s="1" t="s">
        <v>110</v>
      </c>
      <c r="D305" s="1">
        <v>10708333</v>
      </c>
      <c r="E305" s="1">
        <v>5379755</v>
      </c>
      <c r="F305" s="1">
        <v>8668150</v>
      </c>
      <c r="G305" s="1">
        <v>3435650</v>
      </c>
      <c r="H305" s="2">
        <f>SUM(F305:G305)</f>
        <v>12103800</v>
      </c>
      <c r="I305" s="2">
        <f>H305+E305</f>
        <v>17483555</v>
      </c>
      <c r="J305" s="1">
        <v>20708982</v>
      </c>
      <c r="K305" s="2">
        <f>SUM(D305:G305)</f>
        <v>28191888</v>
      </c>
      <c r="L305" s="1">
        <v>48900870</v>
      </c>
      <c r="M305" s="1">
        <v>13759289</v>
      </c>
      <c r="N305" s="1">
        <v>17451636</v>
      </c>
      <c r="O305" s="4">
        <f>SUM(M305:N305)</f>
        <v>31210925</v>
      </c>
      <c r="P305" s="1">
        <v>5081500</v>
      </c>
      <c r="Q305" s="4">
        <f>SUM(O305:P305)</f>
        <v>36292425</v>
      </c>
      <c r="R305" s="1">
        <v>13251425</v>
      </c>
      <c r="S305" s="1">
        <v>13096878</v>
      </c>
      <c r="T305" s="4">
        <f>SUM(R305:S305)</f>
        <v>26348303</v>
      </c>
      <c r="U305" s="1">
        <v>62640728</v>
      </c>
      <c r="V305" s="1">
        <v>2013</v>
      </c>
      <c r="W305" s="8">
        <v>2597567</v>
      </c>
      <c r="X305" s="1">
        <v>0.68799999999999994</v>
      </c>
      <c r="Y305" s="1">
        <v>1</v>
      </c>
      <c r="Z305" s="1">
        <v>0</v>
      </c>
      <c r="AA305" s="1">
        <v>123600000</v>
      </c>
      <c r="AB305" s="1">
        <v>8.6636998381877023E-2</v>
      </c>
      <c r="AC305" s="1">
        <v>4.3525525889967637E-2</v>
      </c>
      <c r="AD305" s="1">
        <v>7.0130663430420709E-2</v>
      </c>
      <c r="AE305" s="1">
        <v>2.7796521035598706E-2</v>
      </c>
      <c r="AF305" s="2">
        <f>SUM(AD305:AE305)</f>
        <v>9.7927184466019418E-2</v>
      </c>
      <c r="AG305" s="2">
        <f>AF305+AC305</f>
        <v>0.14145271035598705</v>
      </c>
      <c r="AH305" s="1">
        <v>0.16754839805825242</v>
      </c>
      <c r="AI305" s="2">
        <f>SUM(AB305:AE305)</f>
        <v>0.22808970873786408</v>
      </c>
      <c r="AJ305" s="1">
        <v>0.11132110841423948</v>
      </c>
      <c r="AK305" s="1">
        <v>0.14119446601941749</v>
      </c>
      <c r="AL305" s="4">
        <f>SUM(AJ305:AK305)</f>
        <v>0.25251557443365696</v>
      </c>
      <c r="AM305" s="1">
        <v>4.1112459546925564E-2</v>
      </c>
      <c r="AN305" s="4">
        <f>SUM(AL305:AM305)</f>
        <v>0.29362803398058251</v>
      </c>
      <c r="AO305" s="1">
        <v>0.10721217637540453</v>
      </c>
      <c r="AP305" s="1">
        <v>0.10596179611650486</v>
      </c>
      <c r="AQ305" s="4">
        <f>SUM(AO305:AP305)</f>
        <v>0.21317397249190939</v>
      </c>
      <c r="AR305" s="1">
        <v>0.50680200647249196</v>
      </c>
      <c r="AS305" s="1">
        <v>0.3956381067961165</v>
      </c>
      <c r="AT305" s="1">
        <v>9.7559886731391599E-2</v>
      </c>
      <c r="AU305" s="1">
        <f t="shared" si="70"/>
        <v>2.1015914239482202E-2</v>
      </c>
      <c r="AV305" s="1">
        <v>11</v>
      </c>
      <c r="AW305">
        <v>430</v>
      </c>
      <c r="AX305">
        <v>305</v>
      </c>
      <c r="AY305" s="6">
        <v>6</v>
      </c>
      <c r="AZ305" s="6">
        <v>5</v>
      </c>
      <c r="BA305" s="11">
        <f t="shared" si="71"/>
        <v>26.875</v>
      </c>
      <c r="BB305">
        <f t="shared" si="72"/>
        <v>19.0625</v>
      </c>
      <c r="BC305">
        <f t="shared" si="73"/>
        <v>125</v>
      </c>
      <c r="BD305">
        <f t="shared" si="74"/>
        <v>7.8125</v>
      </c>
      <c r="BE305" s="10">
        <v>11.6929083871412</v>
      </c>
      <c r="BF305" s="6">
        <v>25.775860000000002</v>
      </c>
      <c r="BG305" s="6">
        <v>27.32713</v>
      </c>
      <c r="BH305" s="6">
        <v>0.61874700000000005</v>
      </c>
      <c r="BI305" s="6">
        <v>0</v>
      </c>
      <c r="BJ305" s="6"/>
      <c r="BK305" s="6" t="s">
        <v>73</v>
      </c>
      <c r="BL305" s="6" t="s">
        <v>68</v>
      </c>
      <c r="BM305" s="6" t="s">
        <v>99</v>
      </c>
      <c r="BN305" s="6" t="s">
        <v>93</v>
      </c>
    </row>
    <row r="306" spans="1:66">
      <c r="A306" s="1" t="s">
        <v>416</v>
      </c>
      <c r="B306" s="1">
        <v>2013</v>
      </c>
      <c r="C306" s="1" t="s">
        <v>118</v>
      </c>
      <c r="D306" s="1">
        <v>5859205</v>
      </c>
      <c r="E306" s="1">
        <v>2412352</v>
      </c>
      <c r="F306" s="1">
        <v>8242874</v>
      </c>
      <c r="G306" s="1">
        <v>6007127</v>
      </c>
      <c r="H306" s="2">
        <f>SUM(F306:G306)</f>
        <v>14250001</v>
      </c>
      <c r="I306" s="2">
        <f>H306+E306</f>
        <v>16662353</v>
      </c>
      <c r="J306" s="1">
        <v>17575011</v>
      </c>
      <c r="K306" s="2">
        <f>SUM(D306:G306)</f>
        <v>22521558</v>
      </c>
      <c r="L306" s="1">
        <v>40096569</v>
      </c>
      <c r="M306" s="1">
        <v>15944118</v>
      </c>
      <c r="N306" s="1">
        <v>11848139</v>
      </c>
      <c r="O306" s="4">
        <f>SUM(M306:N306)</f>
        <v>27792257</v>
      </c>
      <c r="P306" s="1">
        <v>9006508</v>
      </c>
      <c r="Q306" s="4">
        <f>SUM(O306:P306)</f>
        <v>36798765</v>
      </c>
      <c r="R306" s="1">
        <v>5027138</v>
      </c>
      <c r="S306" s="1">
        <v>13351955</v>
      </c>
      <c r="T306" s="4">
        <f>SUM(R306:S306)</f>
        <v>18379093</v>
      </c>
      <c r="U306" s="1">
        <v>55177858</v>
      </c>
      <c r="V306" s="1">
        <v>2013</v>
      </c>
      <c r="W306" s="8">
        <v>18186079</v>
      </c>
      <c r="X306" s="1">
        <v>0.5</v>
      </c>
      <c r="Y306" s="1">
        <v>0</v>
      </c>
      <c r="Z306" s="1">
        <v>0</v>
      </c>
      <c r="AA306" s="1">
        <v>123600000</v>
      </c>
      <c r="AB306" s="1">
        <v>4.7404571197411004E-2</v>
      </c>
      <c r="AC306" s="1">
        <v>1.9517411003236246E-2</v>
      </c>
      <c r="AD306" s="1">
        <v>6.6689919093851135E-2</v>
      </c>
      <c r="AE306" s="1">
        <v>4.8601351132686085E-2</v>
      </c>
      <c r="AF306" s="2">
        <f>SUM(AD306:AE306)</f>
        <v>0.11529127022653722</v>
      </c>
      <c r="AG306" s="2">
        <f>AF306+AC306</f>
        <v>0.13480868122977346</v>
      </c>
      <c r="AH306" s="1">
        <v>0.14219264563106795</v>
      </c>
      <c r="AI306" s="2">
        <f>SUM(AB306:AE306)</f>
        <v>0.1822132524271845</v>
      </c>
      <c r="AJ306" s="1">
        <v>0.12899771844660193</v>
      </c>
      <c r="AK306" s="1">
        <v>9.5858729773462784E-2</v>
      </c>
      <c r="AL306" s="4">
        <f>SUM(AJ306:AK306)</f>
        <v>0.22485644822006473</v>
      </c>
      <c r="AM306" s="1">
        <v>7.2868187702265372E-2</v>
      </c>
      <c r="AN306" s="4">
        <f>SUM(AL306:AM306)</f>
        <v>0.29772463592233012</v>
      </c>
      <c r="AO306" s="1">
        <v>4.0672637540453076E-2</v>
      </c>
      <c r="AP306" s="1">
        <v>0.10802552588996764</v>
      </c>
      <c r="AQ306" s="4">
        <f>SUM(AO306:AP306)</f>
        <v>0.14869816343042072</v>
      </c>
      <c r="AR306" s="1">
        <v>0.44642279935275081</v>
      </c>
      <c r="AS306" s="1">
        <v>0.32440589805825243</v>
      </c>
      <c r="AT306" s="1">
        <v>0.22917130258899676</v>
      </c>
      <c r="AU306" s="1">
        <f t="shared" si="70"/>
        <v>0.14713656148867313</v>
      </c>
      <c r="AV306" s="1">
        <v>8</v>
      </c>
      <c r="AW306">
        <v>317</v>
      </c>
      <c r="AX306">
        <v>335</v>
      </c>
      <c r="AY306" s="6">
        <v>26</v>
      </c>
      <c r="AZ306" s="6">
        <v>8</v>
      </c>
      <c r="BA306" s="11">
        <f t="shared" si="71"/>
        <v>19.8125</v>
      </c>
      <c r="BB306">
        <f t="shared" si="72"/>
        <v>20.9375</v>
      </c>
      <c r="BC306">
        <f t="shared" si="73"/>
        <v>-18</v>
      </c>
      <c r="BD306">
        <f t="shared" si="74"/>
        <v>-1.125</v>
      </c>
      <c r="BE306" s="10">
        <v>7.5397211922483498</v>
      </c>
      <c r="BF306" s="6">
        <v>26.152539999999998</v>
      </c>
      <c r="BG306" s="6">
        <v>27.957260000000002</v>
      </c>
      <c r="BH306" s="6">
        <v>0.53874200000000005</v>
      </c>
      <c r="BI306" s="6">
        <v>0</v>
      </c>
      <c r="BJ306" s="6"/>
      <c r="BK306" s="6" t="s">
        <v>80</v>
      </c>
      <c r="BL306" s="6" t="s">
        <v>74</v>
      </c>
      <c r="BM306" s="6" t="s">
        <v>81</v>
      </c>
      <c r="BN306" s="6" t="s">
        <v>75</v>
      </c>
    </row>
    <row r="307" spans="1:66">
      <c r="A307" s="1" t="s">
        <v>417</v>
      </c>
      <c r="B307" s="1">
        <v>2013</v>
      </c>
      <c r="C307" s="1" t="s">
        <v>120</v>
      </c>
      <c r="D307" s="1">
        <v>8470554</v>
      </c>
      <c r="E307" s="1">
        <v>15752460</v>
      </c>
      <c r="F307" s="1">
        <v>10378281</v>
      </c>
      <c r="G307" s="1">
        <v>4582245</v>
      </c>
      <c r="H307" s="2">
        <f>SUM(F307:G307)</f>
        <v>14960526</v>
      </c>
      <c r="I307" s="2">
        <f>H307+E307</f>
        <v>30712986</v>
      </c>
      <c r="J307" s="1">
        <v>20329032</v>
      </c>
      <c r="K307" s="2">
        <f>SUM(D307:G307)</f>
        <v>39183540</v>
      </c>
      <c r="L307" s="1">
        <v>59512572</v>
      </c>
      <c r="M307" s="1">
        <v>11556066</v>
      </c>
      <c r="N307" s="1">
        <v>24552100</v>
      </c>
      <c r="O307" s="4">
        <f>SUM(M307:N307)</f>
        <v>36108166</v>
      </c>
      <c r="P307" s="1">
        <v>13577945</v>
      </c>
      <c r="Q307" s="4">
        <f>SUM(O307:P307)</f>
        <v>49686111</v>
      </c>
      <c r="R307" s="1">
        <v>5691438</v>
      </c>
      <c r="S307" s="1">
        <v>4206849</v>
      </c>
      <c r="T307" s="4">
        <f>SUM(R307:S307)</f>
        <v>9898287</v>
      </c>
      <c r="U307" s="1">
        <v>59584398</v>
      </c>
      <c r="V307" s="1">
        <v>2013</v>
      </c>
      <c r="W307" s="8">
        <v>7107396</v>
      </c>
      <c r="X307" s="1">
        <v>0.34399999999999997</v>
      </c>
      <c r="Y307" s="1">
        <v>0</v>
      </c>
      <c r="Z307" s="1">
        <v>0</v>
      </c>
      <c r="AA307" s="1">
        <v>123600000</v>
      </c>
      <c r="AB307" s="1">
        <v>6.853199029126214E-2</v>
      </c>
      <c r="AC307" s="1">
        <v>0.12744708737864077</v>
      </c>
      <c r="AD307" s="1">
        <v>8.3966674757281548E-2</v>
      </c>
      <c r="AE307" s="1">
        <v>3.7073179611650485E-2</v>
      </c>
      <c r="AF307" s="2">
        <f>SUM(AD307:AE307)</f>
        <v>0.12103985436893203</v>
      </c>
      <c r="AG307" s="2">
        <f>AF307+AC307</f>
        <v>0.2484869417475728</v>
      </c>
      <c r="AH307" s="1">
        <v>0.16447436893203884</v>
      </c>
      <c r="AI307" s="2">
        <f>SUM(AB307:AE307)</f>
        <v>0.31701893203883491</v>
      </c>
      <c r="AJ307" s="1">
        <v>9.3495679611650492E-2</v>
      </c>
      <c r="AK307" s="1">
        <v>0.1986415857605178</v>
      </c>
      <c r="AL307" s="4">
        <f>SUM(AJ307:AK307)</f>
        <v>0.29213726537216828</v>
      </c>
      <c r="AM307" s="1">
        <v>0.10985392394822006</v>
      </c>
      <c r="AN307" s="4">
        <f>SUM(AL307:AM307)</f>
        <v>0.40199118932038835</v>
      </c>
      <c r="AO307" s="1">
        <v>4.6047233009708741E-2</v>
      </c>
      <c r="AP307" s="1">
        <v>3.4035995145631069E-2</v>
      </c>
      <c r="AQ307" s="4">
        <f>SUM(AO307:AP307)</f>
        <v>8.0083228155339803E-2</v>
      </c>
      <c r="AR307" s="1">
        <v>0.48207441747572816</v>
      </c>
      <c r="AS307" s="1">
        <v>0.48149330097087378</v>
      </c>
      <c r="AT307" s="1">
        <v>3.643228155339806E-2</v>
      </c>
      <c r="AU307" s="1">
        <f t="shared" si="70"/>
        <v>5.7503203883495148E-2</v>
      </c>
      <c r="AV307" s="1">
        <v>5</v>
      </c>
      <c r="AW307">
        <v>391</v>
      </c>
      <c r="AX307">
        <v>480</v>
      </c>
      <c r="AY307" s="6">
        <v>14</v>
      </c>
      <c r="AZ307" s="6">
        <v>32</v>
      </c>
      <c r="BA307" s="11">
        <f t="shared" si="71"/>
        <v>24.4375</v>
      </c>
      <c r="BB307">
        <f t="shared" si="72"/>
        <v>30</v>
      </c>
      <c r="BC307">
        <f t="shared" si="73"/>
        <v>-89</v>
      </c>
      <c r="BD307">
        <f t="shared" si="74"/>
        <v>-5.5625</v>
      </c>
      <c r="BE307" s="10">
        <v>5.47764922835053</v>
      </c>
      <c r="BF307" s="6">
        <v>26.016390000000001</v>
      </c>
      <c r="BG307" s="6">
        <v>28.0715</v>
      </c>
      <c r="BH307" s="6">
        <v>0.60387500000000005</v>
      </c>
      <c r="BI307" s="6">
        <v>0</v>
      </c>
      <c r="BJ307" s="6"/>
      <c r="BK307" s="6" t="s">
        <v>80</v>
      </c>
      <c r="BL307" s="6" t="s">
        <v>68</v>
      </c>
      <c r="BM307" s="6" t="s">
        <v>92</v>
      </c>
      <c r="BN307" s="6" t="s">
        <v>70</v>
      </c>
    </row>
    <row r="308" spans="1:66">
      <c r="A308" s="1" t="s">
        <v>418</v>
      </c>
      <c r="B308" s="1">
        <v>2013</v>
      </c>
      <c r="C308" s="1" t="s">
        <v>122</v>
      </c>
      <c r="D308" s="1">
        <v>14603953</v>
      </c>
      <c r="E308" s="1">
        <v>3682367</v>
      </c>
      <c r="F308" s="1">
        <v>8749814</v>
      </c>
      <c r="G308" s="1">
        <v>4150882</v>
      </c>
      <c r="H308" s="2">
        <f>SUM(F308:G308)</f>
        <v>12900696</v>
      </c>
      <c r="I308" s="2">
        <f>H308+E308</f>
        <v>16583063</v>
      </c>
      <c r="J308" s="1">
        <v>22775490</v>
      </c>
      <c r="K308" s="2">
        <f>SUM(D308:G308)</f>
        <v>31187016</v>
      </c>
      <c r="L308" s="1">
        <v>53962506</v>
      </c>
      <c r="M308" s="1">
        <v>15169500</v>
      </c>
      <c r="N308" s="1">
        <v>6420702</v>
      </c>
      <c r="O308" s="4">
        <f>SUM(M308:N308)</f>
        <v>21590202</v>
      </c>
      <c r="P308" s="1">
        <v>10801171</v>
      </c>
      <c r="Q308" s="4">
        <f>SUM(O308:P308)</f>
        <v>32391373</v>
      </c>
      <c r="R308" s="1">
        <v>7386653</v>
      </c>
      <c r="S308" s="1">
        <v>8618787</v>
      </c>
      <c r="T308" s="4">
        <f>SUM(R308:S308)</f>
        <v>16005440</v>
      </c>
      <c r="U308" s="1">
        <v>48396813</v>
      </c>
      <c r="V308" s="1">
        <v>2013</v>
      </c>
      <c r="W308" s="8">
        <v>22193915</v>
      </c>
      <c r="X308" s="1">
        <v>0.75</v>
      </c>
      <c r="Y308" s="1">
        <v>1</v>
      </c>
      <c r="Z308" s="1">
        <v>0</v>
      </c>
      <c r="AA308" s="1">
        <v>123600000</v>
      </c>
      <c r="AB308" s="1">
        <v>0.11815495954692556</v>
      </c>
      <c r="AC308" s="1">
        <v>2.9792613268608416E-2</v>
      </c>
      <c r="AD308" s="1">
        <v>7.0791375404530746E-2</v>
      </c>
      <c r="AE308" s="1">
        <v>3.3583187702265371E-2</v>
      </c>
      <c r="AF308" s="2">
        <f>SUM(AD308:AE308)</f>
        <v>0.10437456310679612</v>
      </c>
      <c r="AG308" s="2">
        <f>AF308+AC308</f>
        <v>0.13416717637540454</v>
      </c>
      <c r="AH308" s="1">
        <v>0.18426771844660195</v>
      </c>
      <c r="AI308" s="2">
        <f>SUM(AB308:AE308)</f>
        <v>0.2523221359223301</v>
      </c>
      <c r="AJ308" s="1">
        <v>0.12273058252427184</v>
      </c>
      <c r="AK308" s="1">
        <v>5.1947427184466016E-2</v>
      </c>
      <c r="AL308" s="4">
        <f>SUM(AJ308:AK308)</f>
        <v>0.17467800970873787</v>
      </c>
      <c r="AM308" s="1">
        <v>8.7388114886731386E-2</v>
      </c>
      <c r="AN308" s="4">
        <f>SUM(AL308:AM308)</f>
        <v>0.26206612459546924</v>
      </c>
      <c r="AO308" s="1">
        <v>5.9762564724919094E-2</v>
      </c>
      <c r="AP308" s="1">
        <v>6.973128640776699E-2</v>
      </c>
      <c r="AQ308" s="4">
        <f>SUM(AO308:AP308)</f>
        <v>0.12949385113268608</v>
      </c>
      <c r="AR308" s="1">
        <v>0.39155997572815532</v>
      </c>
      <c r="AS308" s="1">
        <v>0.43658985436893205</v>
      </c>
      <c r="AT308" s="1">
        <v>0.17185016990291269</v>
      </c>
      <c r="AU308" s="1">
        <f t="shared" si="70"/>
        <v>0.17956241909385112</v>
      </c>
      <c r="AV308" s="1">
        <v>12</v>
      </c>
      <c r="AW308">
        <v>444</v>
      </c>
      <c r="AX308">
        <v>338</v>
      </c>
      <c r="AY308" s="6">
        <v>3</v>
      </c>
      <c r="AZ308" s="6">
        <v>10</v>
      </c>
      <c r="BA308" s="11">
        <f t="shared" si="71"/>
        <v>27.75</v>
      </c>
      <c r="BB308">
        <f t="shared" si="72"/>
        <v>21.125</v>
      </c>
      <c r="BC308">
        <f t="shared" si="73"/>
        <v>106</v>
      </c>
      <c r="BD308">
        <f t="shared" si="74"/>
        <v>6.625</v>
      </c>
      <c r="BE308" s="10">
        <v>11.1410863122953</v>
      </c>
      <c r="BF308" s="6">
        <v>26</v>
      </c>
      <c r="BG308" s="6">
        <v>29.006209999999999</v>
      </c>
      <c r="BH308" s="6">
        <v>0.60351600000000005</v>
      </c>
      <c r="BI308" s="6">
        <v>0</v>
      </c>
      <c r="BJ308" s="6"/>
      <c r="BK308" s="6" t="s">
        <v>67</v>
      </c>
      <c r="BL308" s="6" t="s">
        <v>68</v>
      </c>
      <c r="BM308" s="6" t="s">
        <v>69</v>
      </c>
      <c r="BN308" s="6" t="s">
        <v>70</v>
      </c>
    </row>
    <row r="309" spans="1:66">
      <c r="A309" s="1" t="s">
        <v>419</v>
      </c>
      <c r="B309" s="1">
        <v>2013</v>
      </c>
      <c r="C309" s="1" t="s">
        <v>124</v>
      </c>
      <c r="D309" s="1">
        <v>18193235</v>
      </c>
      <c r="E309" s="1">
        <v>9159749</v>
      </c>
      <c r="F309" s="1">
        <v>11679433</v>
      </c>
      <c r="G309" s="1">
        <v>3245951</v>
      </c>
      <c r="H309" s="2">
        <f>SUM(F309:G309)</f>
        <v>14925384</v>
      </c>
      <c r="I309" s="2">
        <f>H309+E309</f>
        <v>24085133</v>
      </c>
      <c r="J309" s="1">
        <v>18150025</v>
      </c>
      <c r="K309" s="2">
        <f>SUM(D309:G309)</f>
        <v>42278368</v>
      </c>
      <c r="L309" s="1">
        <v>60428393</v>
      </c>
      <c r="M309" s="1">
        <v>6485380</v>
      </c>
      <c r="N309" s="1">
        <v>14326594</v>
      </c>
      <c r="O309" s="4">
        <f>SUM(M309:N309)</f>
        <v>20811974</v>
      </c>
      <c r="P309" s="1">
        <v>11034166</v>
      </c>
      <c r="Q309" s="4">
        <f>SUM(O309:P309)</f>
        <v>31846140</v>
      </c>
      <c r="R309" s="1">
        <v>9960582</v>
      </c>
      <c r="S309" s="1">
        <v>11598369</v>
      </c>
      <c r="T309" s="4">
        <f>SUM(R309:S309)</f>
        <v>21558951</v>
      </c>
      <c r="U309" s="1">
        <v>53405091</v>
      </c>
      <c r="V309" s="1">
        <v>2013</v>
      </c>
      <c r="W309" s="8">
        <v>19949750</v>
      </c>
      <c r="X309" s="1">
        <v>0.68799999999999994</v>
      </c>
      <c r="Y309" s="1">
        <v>1</v>
      </c>
      <c r="Z309" s="1">
        <v>0</v>
      </c>
      <c r="AA309" s="1">
        <v>123600000</v>
      </c>
      <c r="AB309" s="1">
        <v>0.14719445792880259</v>
      </c>
      <c r="AC309" s="1">
        <v>7.4108001618122976E-2</v>
      </c>
      <c r="AD309" s="1">
        <v>9.4493794498381883E-2</v>
      </c>
      <c r="AE309" s="1">
        <v>2.6261739482200647E-2</v>
      </c>
      <c r="AF309" s="2">
        <f>SUM(AD309:AE309)</f>
        <v>0.12075553398058253</v>
      </c>
      <c r="AG309" s="2">
        <f>AF309+AC309</f>
        <v>0.19486353559870551</v>
      </c>
      <c r="AH309" s="1">
        <v>0.14684486245954692</v>
      </c>
      <c r="AI309" s="2">
        <f>SUM(AB309:AE309)</f>
        <v>0.3420579935275081</v>
      </c>
      <c r="AJ309" s="1">
        <v>5.2470711974110032E-2</v>
      </c>
      <c r="AK309" s="1">
        <v>0.11591095469255663</v>
      </c>
      <c r="AL309" s="4">
        <f>SUM(AJ309:AK309)</f>
        <v>0.16838166666666665</v>
      </c>
      <c r="AM309" s="1">
        <v>8.9273187702265375E-2</v>
      </c>
      <c r="AN309" s="4">
        <f>SUM(AL309:AM309)</f>
        <v>0.25765485436893204</v>
      </c>
      <c r="AO309" s="1">
        <v>8.0587233009708742E-2</v>
      </c>
      <c r="AP309" s="1">
        <v>9.3837936893203883E-2</v>
      </c>
      <c r="AQ309" s="4">
        <f>SUM(AO309:AP309)</f>
        <v>0.17442516990291262</v>
      </c>
      <c r="AR309" s="1">
        <v>0.43208002427184466</v>
      </c>
      <c r="AS309" s="1">
        <v>0.48890285598705502</v>
      </c>
      <c r="AT309" s="1">
        <v>7.9017119741100261E-2</v>
      </c>
      <c r="AU309" s="1">
        <f t="shared" si="70"/>
        <v>0.16140574433656957</v>
      </c>
      <c r="AV309" s="1">
        <v>11</v>
      </c>
      <c r="AW309">
        <v>414</v>
      </c>
      <c r="AX309">
        <v>304</v>
      </c>
      <c r="AY309" s="6">
        <v>10</v>
      </c>
      <c r="AZ309" s="6">
        <v>4</v>
      </c>
      <c r="BA309" s="11">
        <f t="shared" si="71"/>
        <v>25.875</v>
      </c>
      <c r="BB309">
        <f t="shared" si="72"/>
        <v>19</v>
      </c>
      <c r="BC309">
        <f t="shared" si="73"/>
        <v>110</v>
      </c>
      <c r="BD309">
        <f t="shared" si="74"/>
        <v>6.875</v>
      </c>
      <c r="BE309" s="10">
        <v>11.2572593806839</v>
      </c>
      <c r="BF309" s="6">
        <v>26.87302</v>
      </c>
      <c r="BG309" s="6">
        <v>29.28819</v>
      </c>
      <c r="BH309" s="6">
        <v>0.57660100000000003</v>
      </c>
      <c r="BI309" s="6">
        <v>0</v>
      </c>
      <c r="BJ309" s="6"/>
      <c r="BK309" s="6" t="s">
        <v>67</v>
      </c>
      <c r="BL309" s="6" t="s">
        <v>74</v>
      </c>
      <c r="BM309" s="6" t="s">
        <v>102</v>
      </c>
      <c r="BN309" s="6" t="s">
        <v>70</v>
      </c>
    </row>
    <row r="310" spans="1:66">
      <c r="A310" s="1" t="s">
        <v>420</v>
      </c>
      <c r="B310" s="1">
        <v>2013</v>
      </c>
      <c r="C310" s="1" t="s">
        <v>126</v>
      </c>
      <c r="D310" s="1">
        <v>21998400</v>
      </c>
      <c r="E310" s="1">
        <v>5036739</v>
      </c>
      <c r="F310" s="1">
        <v>8677626</v>
      </c>
      <c r="G310" s="1">
        <v>2998913</v>
      </c>
      <c r="H310" s="2">
        <f>SUM(F310:G310)</f>
        <v>11676539</v>
      </c>
      <c r="I310" s="2">
        <f>H310+E310</f>
        <v>16713278</v>
      </c>
      <c r="J310" s="1">
        <v>24235900</v>
      </c>
      <c r="K310" s="2">
        <f>SUM(D310:G310)</f>
        <v>38711678</v>
      </c>
      <c r="L310" s="1">
        <v>62947578</v>
      </c>
      <c r="M310" s="1">
        <v>5118995</v>
      </c>
      <c r="N310" s="1">
        <v>9523813</v>
      </c>
      <c r="O310" s="4">
        <f>SUM(M310:N310)</f>
        <v>14642808</v>
      </c>
      <c r="P310" s="1">
        <v>7916847</v>
      </c>
      <c r="Q310" s="4">
        <f>SUM(O310:P310)</f>
        <v>22559655</v>
      </c>
      <c r="R310" s="1">
        <v>12704990</v>
      </c>
      <c r="S310" s="1">
        <v>11202110</v>
      </c>
      <c r="T310" s="4">
        <f>SUM(R310:S310)</f>
        <v>23907100</v>
      </c>
      <c r="U310" s="1">
        <v>46466755</v>
      </c>
      <c r="V310" s="1">
        <v>2013</v>
      </c>
      <c r="W310" s="8">
        <v>25637548</v>
      </c>
      <c r="X310" s="1">
        <v>0.438</v>
      </c>
      <c r="Y310" s="1">
        <v>0</v>
      </c>
      <c r="Z310" s="1">
        <v>0</v>
      </c>
      <c r="AA310" s="1">
        <v>123600000</v>
      </c>
      <c r="AB310" s="1">
        <v>0.17798058252427185</v>
      </c>
      <c r="AC310" s="1">
        <v>4.0750315533980584E-2</v>
      </c>
      <c r="AD310" s="1">
        <v>7.0207330097087378E-2</v>
      </c>
      <c r="AE310" s="1">
        <v>2.4263050161812297E-2</v>
      </c>
      <c r="AF310" s="2">
        <f>SUM(AD310:AE310)</f>
        <v>9.4470380258899672E-2</v>
      </c>
      <c r="AG310" s="2">
        <f>AF310+AC310</f>
        <v>0.13522069579288026</v>
      </c>
      <c r="AH310" s="1">
        <v>0.19608333333333333</v>
      </c>
      <c r="AI310" s="2">
        <f>SUM(AB310:AE310)</f>
        <v>0.31320127831715211</v>
      </c>
      <c r="AJ310" s="1">
        <v>4.141581715210356E-2</v>
      </c>
      <c r="AK310" s="1">
        <v>7.7053503236245949E-2</v>
      </c>
      <c r="AL310" s="4">
        <f>SUM(AJ310:AK310)</f>
        <v>0.11846932038834951</v>
      </c>
      <c r="AM310" s="1">
        <v>6.4052160194174756E-2</v>
      </c>
      <c r="AN310" s="4">
        <f>SUM(AL310:AM310)</f>
        <v>0.18252148058252426</v>
      </c>
      <c r="AO310" s="1">
        <v>0.10279118122977346</v>
      </c>
      <c r="AP310" s="1">
        <v>9.0631957928802589E-2</v>
      </c>
      <c r="AQ310" s="4">
        <f>SUM(AO310:AP310)</f>
        <v>0.19342313915857606</v>
      </c>
      <c r="AR310" s="1">
        <v>0.37594461974110033</v>
      </c>
      <c r="AS310" s="1">
        <v>0.50928461165048544</v>
      </c>
      <c r="AT310" s="1">
        <v>0.11477076860841429</v>
      </c>
      <c r="AU310" s="1">
        <f t="shared" si="70"/>
        <v>0.20742352750809062</v>
      </c>
      <c r="AV310" s="1">
        <v>7</v>
      </c>
      <c r="AW310">
        <v>294</v>
      </c>
      <c r="AX310">
        <v>383</v>
      </c>
      <c r="AY310" s="6">
        <v>28</v>
      </c>
      <c r="AZ310" s="6">
        <v>18</v>
      </c>
      <c r="BA310" s="11">
        <f t="shared" si="71"/>
        <v>18.375</v>
      </c>
      <c r="BB310">
        <f t="shared" si="72"/>
        <v>23.9375</v>
      </c>
      <c r="BC310">
        <f t="shared" si="73"/>
        <v>-89</v>
      </c>
      <c r="BD310">
        <f t="shared" si="74"/>
        <v>-5.5625</v>
      </c>
      <c r="BE310" s="10">
        <v>5.47764922835053</v>
      </c>
      <c r="BF310" s="6">
        <v>26.80303</v>
      </c>
      <c r="BG310" s="6">
        <v>28.971129999999999</v>
      </c>
      <c r="BH310" s="6">
        <v>0.61333899999999997</v>
      </c>
      <c r="BI310" s="6">
        <v>0</v>
      </c>
      <c r="BJ310" s="6"/>
      <c r="BK310" s="6" t="s">
        <v>67</v>
      </c>
      <c r="BL310" s="6" t="s">
        <v>68</v>
      </c>
      <c r="BM310" s="6" t="s">
        <v>69</v>
      </c>
      <c r="BN310" s="6" t="s">
        <v>70</v>
      </c>
    </row>
    <row r="311" spans="1:66">
      <c r="A311" s="1" t="s">
        <v>421</v>
      </c>
      <c r="B311" s="1">
        <v>2013</v>
      </c>
      <c r="C311" s="1" t="s">
        <v>128</v>
      </c>
      <c r="D311" s="1">
        <v>14759018</v>
      </c>
      <c r="E311" s="1">
        <v>4154535</v>
      </c>
      <c r="F311" s="1">
        <v>12811933</v>
      </c>
      <c r="G311" s="1">
        <v>2593765</v>
      </c>
      <c r="H311" s="2">
        <f>SUM(F311:G311)</f>
        <v>15405698</v>
      </c>
      <c r="I311" s="2">
        <f>H311+E311</f>
        <v>19560233</v>
      </c>
      <c r="J311" s="1">
        <v>20679882</v>
      </c>
      <c r="K311" s="2">
        <f>SUM(D311:G311)</f>
        <v>34319251</v>
      </c>
      <c r="L311" s="1">
        <v>54999133</v>
      </c>
      <c r="M311" s="1">
        <v>5447833</v>
      </c>
      <c r="N311" s="1">
        <v>4476989</v>
      </c>
      <c r="O311" s="4">
        <f>SUM(M311:N311)</f>
        <v>9924822</v>
      </c>
      <c r="P311" s="1">
        <v>15203295</v>
      </c>
      <c r="Q311" s="4">
        <f>SUM(O311:P311)</f>
        <v>25128117</v>
      </c>
      <c r="R311" s="1">
        <v>3028114</v>
      </c>
      <c r="S311" s="1">
        <v>13025418</v>
      </c>
      <c r="T311" s="4">
        <f>SUM(R311:S311)</f>
        <v>16053532</v>
      </c>
      <c r="U311" s="1">
        <v>41181649</v>
      </c>
      <c r="V311" s="1">
        <v>2013</v>
      </c>
      <c r="W311" s="8">
        <v>18934169</v>
      </c>
      <c r="X311" s="1">
        <v>0.5</v>
      </c>
      <c r="Y311" s="1">
        <v>0</v>
      </c>
      <c r="Z311" s="1">
        <v>0</v>
      </c>
      <c r="AA311" s="1">
        <v>123600000</v>
      </c>
      <c r="AB311" s="1">
        <v>0.11940953074433656</v>
      </c>
      <c r="AC311" s="1">
        <v>3.3612742718446602E-2</v>
      </c>
      <c r="AD311" s="1">
        <v>0.10365641585760518</v>
      </c>
      <c r="AE311" s="1">
        <v>2.0985153721682848E-2</v>
      </c>
      <c r="AF311" s="2">
        <f>SUM(AD311:AE311)</f>
        <v>0.12464156957928803</v>
      </c>
      <c r="AG311" s="2">
        <f>AF311+AC311</f>
        <v>0.15825431229773462</v>
      </c>
      <c r="AH311" s="1">
        <v>0.16731296116504854</v>
      </c>
      <c r="AI311" s="2">
        <f>SUM(AB311:AE311)</f>
        <v>0.2776638430420712</v>
      </c>
      <c r="AJ311" s="1">
        <v>4.4076318770226539E-2</v>
      </c>
      <c r="AK311" s="1">
        <v>3.6221593851132688E-2</v>
      </c>
      <c r="AL311" s="4">
        <f>SUM(AJ311:AK311)</f>
        <v>8.0297912621359227E-2</v>
      </c>
      <c r="AM311" s="1">
        <v>0.12300400485436894</v>
      </c>
      <c r="AN311" s="4">
        <f>SUM(AL311:AM311)</f>
        <v>0.20330191747572818</v>
      </c>
      <c r="AO311" s="1">
        <v>2.4499304207119741E-2</v>
      </c>
      <c r="AP311" s="1">
        <v>0.10538364077669903</v>
      </c>
      <c r="AQ311" s="4">
        <f>SUM(AO311:AP311)</f>
        <v>0.12988294498381878</v>
      </c>
      <c r="AR311" s="1">
        <v>0.33318486245954693</v>
      </c>
      <c r="AS311" s="1">
        <v>0.44497680420711971</v>
      </c>
      <c r="AT311" s="1">
        <v>0.22183833333333336</v>
      </c>
      <c r="AU311" s="1">
        <f t="shared" si="70"/>
        <v>0.15318906957928802</v>
      </c>
      <c r="AV311" s="1">
        <v>8</v>
      </c>
      <c r="AW311">
        <v>290</v>
      </c>
      <c r="AX311">
        <v>387</v>
      </c>
      <c r="AY311" s="6">
        <v>29</v>
      </c>
      <c r="AZ311" s="6">
        <v>19</v>
      </c>
      <c r="BA311" s="11">
        <f t="shared" si="71"/>
        <v>18.125</v>
      </c>
      <c r="BB311">
        <f t="shared" si="72"/>
        <v>24.1875</v>
      </c>
      <c r="BC311">
        <f t="shared" si="73"/>
        <v>-97</v>
      </c>
      <c r="BD311">
        <f t="shared" si="74"/>
        <v>-6.0625</v>
      </c>
      <c r="BE311" s="10">
        <v>5.2453030915733097</v>
      </c>
      <c r="BF311" s="6">
        <v>26.19697</v>
      </c>
      <c r="BG311" s="6">
        <v>27.389849999999999</v>
      </c>
      <c r="BH311" s="6">
        <v>0.61861699999999997</v>
      </c>
      <c r="BI311" s="6">
        <v>0</v>
      </c>
      <c r="BJ311" s="6"/>
      <c r="BK311" s="6" t="s">
        <v>73</v>
      </c>
      <c r="BL311" s="6" t="s">
        <v>68</v>
      </c>
      <c r="BM311" s="6" t="s">
        <v>99</v>
      </c>
      <c r="BN311" s="6" t="s">
        <v>93</v>
      </c>
    </row>
    <row r="312" spans="1:66">
      <c r="A312" s="1" t="s">
        <v>422</v>
      </c>
      <c r="B312" s="1">
        <v>2013</v>
      </c>
      <c r="C312" s="1" t="s">
        <v>112</v>
      </c>
      <c r="D312" s="1">
        <v>1146517</v>
      </c>
      <c r="E312" s="1">
        <v>11735884</v>
      </c>
      <c r="F312" s="1">
        <v>4609651</v>
      </c>
      <c r="G312" s="1">
        <v>1496363</v>
      </c>
      <c r="H312" s="2">
        <f>SUM(F312:G312)</f>
        <v>6106014</v>
      </c>
      <c r="I312" s="2">
        <f>H312+E312</f>
        <v>17841898</v>
      </c>
      <c r="J312" s="1">
        <v>10275023</v>
      </c>
      <c r="K312" s="2">
        <f>SUM(D312:G312)</f>
        <v>18988415</v>
      </c>
      <c r="L312" s="1">
        <v>29263438</v>
      </c>
      <c r="M312" s="1">
        <v>5163512</v>
      </c>
      <c r="N312" s="1">
        <v>2078750</v>
      </c>
      <c r="O312" s="4">
        <f>SUM(M312:N312)</f>
        <v>7242262</v>
      </c>
      <c r="P312" s="1">
        <v>6548030</v>
      </c>
      <c r="Q312" s="4">
        <f>SUM(O312:P312)</f>
        <v>13790292</v>
      </c>
      <c r="R312" s="1">
        <v>6752294</v>
      </c>
      <c r="S312" s="1">
        <v>6782330</v>
      </c>
      <c r="T312" s="4">
        <f>SUM(R312:S312)</f>
        <v>13534624</v>
      </c>
      <c r="U312" s="1">
        <v>27324916</v>
      </c>
      <c r="V312" s="1">
        <v>2013</v>
      </c>
      <c r="W312" s="8">
        <v>9161038</v>
      </c>
      <c r="X312" s="1">
        <v>0.25</v>
      </c>
      <c r="Y312" s="1">
        <v>0</v>
      </c>
      <c r="Z312" s="1">
        <v>0</v>
      </c>
      <c r="AA312" s="1">
        <v>123600000</v>
      </c>
      <c r="AB312" s="1">
        <v>9.2760275080906156E-3</v>
      </c>
      <c r="AC312" s="1">
        <v>9.4950517799352749E-2</v>
      </c>
      <c r="AD312" s="1">
        <v>3.7294911003236245E-2</v>
      </c>
      <c r="AE312" s="1">
        <v>1.2106496763754046E-2</v>
      </c>
      <c r="AF312" s="2">
        <f>SUM(AD312:AE312)</f>
        <v>4.9401407766990292E-2</v>
      </c>
      <c r="AG312" s="2">
        <f>AF312+AC312</f>
        <v>0.14435192556634305</v>
      </c>
      <c r="AH312" s="1">
        <v>8.313125404530744E-2</v>
      </c>
      <c r="AI312" s="2">
        <f>SUM(AB312:AE312)</f>
        <v>0.15362795307443367</v>
      </c>
      <c r="AJ312" s="1">
        <v>4.177598705501618E-2</v>
      </c>
      <c r="AK312" s="1">
        <v>1.681836569579288E-2</v>
      </c>
      <c r="AL312" s="4">
        <f>SUM(AJ312:AK312)</f>
        <v>5.8594352750809056E-2</v>
      </c>
      <c r="AM312" s="1">
        <v>5.2977588996763754E-2</v>
      </c>
      <c r="AN312" s="4">
        <f>SUM(AL312:AM312)</f>
        <v>0.11157194174757282</v>
      </c>
      <c r="AO312" s="1">
        <v>5.4630210355987058E-2</v>
      </c>
      <c r="AP312" s="1">
        <v>5.487322006472492E-2</v>
      </c>
      <c r="AQ312" s="4">
        <f>SUM(AO312:AP312)</f>
        <v>0.10950343042071198</v>
      </c>
      <c r="AR312" s="1">
        <v>0.22107537216828479</v>
      </c>
      <c r="AS312" s="1">
        <v>0.23675920711974111</v>
      </c>
      <c r="AT312" s="1">
        <v>0.54216542071197416</v>
      </c>
      <c r="AU312" s="1">
        <f t="shared" si="70"/>
        <v>7.4118430420711978E-2</v>
      </c>
      <c r="AV312" s="1">
        <v>4</v>
      </c>
      <c r="AW312">
        <v>322</v>
      </c>
      <c r="AX312">
        <v>453</v>
      </c>
      <c r="AY312" s="6">
        <v>24</v>
      </c>
      <c r="AZ312" s="6">
        <v>29</v>
      </c>
      <c r="BA312" s="11">
        <f t="shared" si="71"/>
        <v>20.125</v>
      </c>
      <c r="BB312">
        <f t="shared" si="72"/>
        <v>28.3125</v>
      </c>
      <c r="BC312">
        <f t="shared" si="73"/>
        <v>-131</v>
      </c>
      <c r="BD312">
        <f t="shared" si="74"/>
        <v>-8.1875</v>
      </c>
      <c r="BE312" s="10">
        <v>4.2578320102701301</v>
      </c>
      <c r="BF312" s="6">
        <v>26.21311</v>
      </c>
      <c r="BG312" s="6">
        <v>27.531549999999999</v>
      </c>
      <c r="BH312" s="6">
        <v>0.49082500000000001</v>
      </c>
      <c r="BI312" s="6">
        <v>0</v>
      </c>
      <c r="BJ312" s="6"/>
      <c r="BK312" s="6" t="s">
        <v>73</v>
      </c>
      <c r="BL312" s="6" t="s">
        <v>74</v>
      </c>
      <c r="BM312" s="6" t="s">
        <v>75</v>
      </c>
      <c r="BN312" s="6" t="s">
        <v>75</v>
      </c>
    </row>
    <row r="313" spans="1:66">
      <c r="A313" s="1" t="s">
        <v>423</v>
      </c>
      <c r="B313" s="1">
        <v>2013</v>
      </c>
      <c r="C313" s="1" t="s">
        <v>130</v>
      </c>
      <c r="D313" s="1">
        <v>13385137</v>
      </c>
      <c r="E313" s="1">
        <v>10203112</v>
      </c>
      <c r="F313" s="1">
        <v>19241989</v>
      </c>
      <c r="G313" s="1">
        <v>5509036</v>
      </c>
      <c r="H313" s="2">
        <f>SUM(F313:G313)</f>
        <v>24751025</v>
      </c>
      <c r="I313" s="2">
        <f>H313+E313</f>
        <v>34954137</v>
      </c>
      <c r="J313" s="1">
        <v>25664899</v>
      </c>
      <c r="K313" s="2">
        <f>SUM(D313:G313)</f>
        <v>48339274</v>
      </c>
      <c r="L313" s="1">
        <v>74004173</v>
      </c>
      <c r="M313" s="1">
        <v>5264666</v>
      </c>
      <c r="N313" s="1">
        <v>10241101</v>
      </c>
      <c r="O313" s="4">
        <f>SUM(M313:N313)</f>
        <v>15505767</v>
      </c>
      <c r="P313" s="1">
        <v>10004817</v>
      </c>
      <c r="Q313" s="4">
        <f>SUM(O313:P313)</f>
        <v>25510584</v>
      </c>
      <c r="R313" s="1">
        <v>6920158</v>
      </c>
      <c r="S313" s="1">
        <v>6032738</v>
      </c>
      <c r="T313" s="4">
        <f>SUM(R313:S313)</f>
        <v>12952896</v>
      </c>
      <c r="U313" s="1">
        <v>38463480</v>
      </c>
      <c r="V313" s="1">
        <v>2013</v>
      </c>
      <c r="W313" s="8">
        <v>6646601</v>
      </c>
      <c r="X313" s="1">
        <v>0.625</v>
      </c>
      <c r="Y313" s="1">
        <v>1</v>
      </c>
      <c r="Z313" s="1">
        <v>0</v>
      </c>
      <c r="AA313" s="1">
        <v>123600000</v>
      </c>
      <c r="AB313" s="1">
        <v>0.10829398867313916</v>
      </c>
      <c r="AC313" s="1">
        <v>8.2549449838187697E-2</v>
      </c>
      <c r="AD313" s="1">
        <v>0.15567952265372167</v>
      </c>
      <c r="AE313" s="1">
        <v>4.4571488673139162E-2</v>
      </c>
      <c r="AF313" s="2">
        <f>SUM(AD313:AE313)</f>
        <v>0.20025101132686085</v>
      </c>
      <c r="AG313" s="2">
        <f>AF313+AC313</f>
        <v>0.28280046116504853</v>
      </c>
      <c r="AH313" s="1">
        <v>0.2076448139158576</v>
      </c>
      <c r="AI313" s="2">
        <f>SUM(AB313:AE313)</f>
        <v>0.3910944498381877</v>
      </c>
      <c r="AJ313" s="1">
        <v>4.2594385113268608E-2</v>
      </c>
      <c r="AK313" s="1">
        <v>8.2856804207119744E-2</v>
      </c>
      <c r="AL313" s="4">
        <f>SUM(AJ313:AK313)</f>
        <v>0.12545118932038835</v>
      </c>
      <c r="AM313" s="1">
        <v>8.0945121359223299E-2</v>
      </c>
      <c r="AN313" s="4">
        <f>SUM(AL313:AM313)</f>
        <v>0.20639631067961164</v>
      </c>
      <c r="AO313" s="1">
        <v>5.5988333333333334E-2</v>
      </c>
      <c r="AP313" s="1">
        <v>4.8808559870550161E-2</v>
      </c>
      <c r="AQ313" s="4">
        <f>SUM(AO313:AP313)</f>
        <v>0.1047968932038835</v>
      </c>
      <c r="AR313" s="1">
        <v>0.31119320388349514</v>
      </c>
      <c r="AS313" s="1">
        <v>0.59873926375404529</v>
      </c>
      <c r="AT313" s="1">
        <v>9.0067532362459568E-2</v>
      </c>
      <c r="AU313" s="1">
        <f t="shared" si="70"/>
        <v>5.3775088996763754E-2</v>
      </c>
      <c r="AV313" s="1">
        <v>10</v>
      </c>
      <c r="AW313">
        <v>442</v>
      </c>
      <c r="AX313">
        <v>382</v>
      </c>
      <c r="AY313" s="6">
        <v>4</v>
      </c>
      <c r="AZ313" s="6">
        <v>17</v>
      </c>
      <c r="BA313" s="11">
        <f t="shared" si="71"/>
        <v>27.625</v>
      </c>
      <c r="BB313">
        <f t="shared" si="72"/>
        <v>23.875</v>
      </c>
      <c r="BC313">
        <f t="shared" si="73"/>
        <v>60</v>
      </c>
      <c r="BD313">
        <f t="shared" si="74"/>
        <v>3.75</v>
      </c>
      <c r="BE313" s="10">
        <v>9.8050960258262396</v>
      </c>
      <c r="BF313" s="6">
        <v>26.034479999999999</v>
      </c>
      <c r="BG313" s="6">
        <v>28.110810000000001</v>
      </c>
      <c r="BH313" s="6">
        <v>0.57965699999999998</v>
      </c>
      <c r="BI313" s="6">
        <v>0</v>
      </c>
      <c r="BJ313" s="6"/>
      <c r="BK313" s="6" t="s">
        <v>80</v>
      </c>
      <c r="BL313" s="6" t="s">
        <v>74</v>
      </c>
      <c r="BM313" s="6" t="s">
        <v>81</v>
      </c>
      <c r="BN313" s="6" t="s">
        <v>75</v>
      </c>
    </row>
    <row r="314" spans="1:66">
      <c r="A314" s="1" t="s">
        <v>424</v>
      </c>
      <c r="B314" s="1">
        <v>2013</v>
      </c>
      <c r="C314" s="1" t="s">
        <v>132</v>
      </c>
      <c r="D314" s="1">
        <v>15393138</v>
      </c>
      <c r="E314" s="1">
        <v>2549641</v>
      </c>
      <c r="F314" s="1">
        <v>8799844</v>
      </c>
      <c r="G314" s="1">
        <v>9207474</v>
      </c>
      <c r="H314" s="2">
        <f>SUM(F314:G314)</f>
        <v>18007318</v>
      </c>
      <c r="I314" s="2">
        <f>H314+E314</f>
        <v>20556959</v>
      </c>
      <c r="J314" s="1">
        <v>10836255</v>
      </c>
      <c r="K314" s="2">
        <f>SUM(D314:G314)</f>
        <v>35950097</v>
      </c>
      <c r="L314" s="1">
        <v>46786352</v>
      </c>
      <c r="M314" s="1">
        <v>12586770</v>
      </c>
      <c r="N314" s="1">
        <v>12823812</v>
      </c>
      <c r="O314" s="4">
        <f>SUM(M314:N314)</f>
        <v>25410582</v>
      </c>
      <c r="P314" s="1">
        <v>9155304</v>
      </c>
      <c r="Q314" s="4">
        <f>SUM(O314:P314)</f>
        <v>34565886</v>
      </c>
      <c r="R314" s="1">
        <v>16480395</v>
      </c>
      <c r="S314" s="1">
        <v>11069889</v>
      </c>
      <c r="T314" s="4">
        <f>SUM(R314:S314)</f>
        <v>27550284</v>
      </c>
      <c r="U314" s="1">
        <v>62116170</v>
      </c>
      <c r="V314" s="1">
        <v>2013</v>
      </c>
      <c r="W314" s="8">
        <v>17925814</v>
      </c>
      <c r="X314" s="1">
        <v>0.5</v>
      </c>
      <c r="Y314" s="1">
        <v>0</v>
      </c>
      <c r="Z314" s="1">
        <v>0</v>
      </c>
      <c r="AA314" s="1">
        <v>123600000</v>
      </c>
      <c r="AB314" s="1">
        <v>0.12453995145631068</v>
      </c>
      <c r="AC314" s="1">
        <v>2.0628163430420711E-2</v>
      </c>
      <c r="AD314" s="1">
        <v>7.1196148867313916E-2</v>
      </c>
      <c r="AE314" s="1">
        <v>7.4494126213592235E-2</v>
      </c>
      <c r="AF314" s="2">
        <f>SUM(AD314:AE314)</f>
        <v>0.14569027508090615</v>
      </c>
      <c r="AG314" s="2">
        <f>AF314+AC314</f>
        <v>0.16631843851132685</v>
      </c>
      <c r="AH314" s="1">
        <v>8.7671966019417472E-2</v>
      </c>
      <c r="AI314" s="2">
        <f>SUM(AB314:AE314)</f>
        <v>0.29085838996763758</v>
      </c>
      <c r="AJ314" s="1">
        <v>0.10183470873786407</v>
      </c>
      <c r="AK314" s="1">
        <v>0.10375252427184466</v>
      </c>
      <c r="AL314" s="4">
        <f>SUM(AJ314:AK314)</f>
        <v>0.20558723300970871</v>
      </c>
      <c r="AM314" s="1">
        <v>7.4072038834951462E-2</v>
      </c>
      <c r="AN314" s="4">
        <f>SUM(AL314:AM314)</f>
        <v>0.27965927184466016</v>
      </c>
      <c r="AO314" s="1">
        <v>0.1333365291262136</v>
      </c>
      <c r="AP314" s="1">
        <v>8.956220873786408E-2</v>
      </c>
      <c r="AQ314" s="4">
        <f>SUM(AO314:AP314)</f>
        <v>0.22289873786407768</v>
      </c>
      <c r="AR314" s="1">
        <v>0.50255800970873787</v>
      </c>
      <c r="AS314" s="1">
        <v>0.37853035598705503</v>
      </c>
      <c r="AT314" s="1">
        <v>0.11891163430420715</v>
      </c>
      <c r="AU314" s="1">
        <f t="shared" si="70"/>
        <v>0.145030857605178</v>
      </c>
      <c r="AV314" s="1">
        <v>8</v>
      </c>
      <c r="AW314">
        <v>379</v>
      </c>
      <c r="AX314">
        <v>370</v>
      </c>
      <c r="AY314" s="6">
        <v>16</v>
      </c>
      <c r="AZ314" s="6">
        <v>14</v>
      </c>
      <c r="BA314" s="11">
        <f t="shared" si="71"/>
        <v>23.6875</v>
      </c>
      <c r="BB314">
        <f t="shared" si="72"/>
        <v>23.125</v>
      </c>
      <c r="BC314">
        <f t="shared" si="73"/>
        <v>9</v>
      </c>
      <c r="BD314">
        <f t="shared" si="74"/>
        <v>0.5625</v>
      </c>
      <c r="BE314" s="10">
        <v>8.3238894038714708</v>
      </c>
      <c r="BF314" s="6">
        <v>26.846150000000002</v>
      </c>
      <c r="BG314" s="6">
        <v>28.94144</v>
      </c>
      <c r="BH314" s="6">
        <v>0.60705799999999999</v>
      </c>
      <c r="BI314" s="6">
        <v>0</v>
      </c>
      <c r="BJ314" s="6"/>
      <c r="BK314" s="6" t="s">
        <v>67</v>
      </c>
      <c r="BL314" s="6" t="s">
        <v>68</v>
      </c>
      <c r="BM314" s="6" t="s">
        <v>69</v>
      </c>
      <c r="BN314" s="6" t="s">
        <v>70</v>
      </c>
    </row>
    <row r="315" spans="1:66">
      <c r="A315" s="1" t="s">
        <v>425</v>
      </c>
      <c r="B315" s="1">
        <v>2013</v>
      </c>
      <c r="C315" s="1" t="s">
        <v>114</v>
      </c>
      <c r="D315" s="1">
        <v>15996516</v>
      </c>
      <c r="E315" s="1">
        <v>5201250</v>
      </c>
      <c r="F315" s="1">
        <v>10926398</v>
      </c>
      <c r="G315" s="1">
        <v>8795715</v>
      </c>
      <c r="H315" s="2">
        <f>SUM(F315:G315)</f>
        <v>19722113</v>
      </c>
      <c r="I315" s="2">
        <f>H315+E315</f>
        <v>24923363</v>
      </c>
      <c r="J315" s="1">
        <v>17428226</v>
      </c>
      <c r="K315" s="2">
        <f>SUM(D315:G315)</f>
        <v>40919879</v>
      </c>
      <c r="L315" s="1">
        <v>58348105</v>
      </c>
      <c r="M315" s="1">
        <v>6241425</v>
      </c>
      <c r="N315" s="1">
        <v>13838120</v>
      </c>
      <c r="O315" s="4">
        <f>SUM(M315:N315)</f>
        <v>20079545</v>
      </c>
      <c r="P315" s="1">
        <v>4555052</v>
      </c>
      <c r="Q315" s="4">
        <f>SUM(O315:P315)</f>
        <v>24634597</v>
      </c>
      <c r="R315" s="1">
        <v>11490435</v>
      </c>
      <c r="S315" s="1">
        <v>4839588</v>
      </c>
      <c r="T315" s="4">
        <f>SUM(R315:S315)</f>
        <v>16330023</v>
      </c>
      <c r="U315" s="1">
        <v>40964620</v>
      </c>
      <c r="V315" s="1">
        <v>2013</v>
      </c>
      <c r="W315" s="8">
        <v>13860874</v>
      </c>
      <c r="X315" s="1">
        <v>0.56299999999999994</v>
      </c>
      <c r="Y315" s="1">
        <v>1</v>
      </c>
      <c r="Z315" s="1">
        <v>0</v>
      </c>
      <c r="AA315" s="1">
        <v>123600000</v>
      </c>
      <c r="AB315" s="1">
        <v>0.12942165048543688</v>
      </c>
      <c r="AC315" s="1">
        <v>4.2081310679611648E-2</v>
      </c>
      <c r="AD315" s="1">
        <v>8.840127831715211E-2</v>
      </c>
      <c r="AE315" s="1">
        <v>7.1162742718446609E-2</v>
      </c>
      <c r="AF315" s="2">
        <f>SUM(AD315:AE315)</f>
        <v>0.15956402103559872</v>
      </c>
      <c r="AG315" s="2">
        <f>AF315+AC315</f>
        <v>0.20164533171521037</v>
      </c>
      <c r="AH315" s="1">
        <v>0.14100506472491908</v>
      </c>
      <c r="AI315" s="2">
        <f>SUM(AB315:AE315)</f>
        <v>0.33106698220064723</v>
      </c>
      <c r="AJ315" s="1">
        <v>5.0496966019417479E-2</v>
      </c>
      <c r="AK315" s="1">
        <v>0.1119588996763754</v>
      </c>
      <c r="AL315" s="4">
        <f>SUM(AJ315:AK315)</f>
        <v>0.16245586569579287</v>
      </c>
      <c r="AM315" s="1">
        <v>3.6853171521035601E-2</v>
      </c>
      <c r="AN315" s="4">
        <f>SUM(AL315:AM315)</f>
        <v>0.19930903721682847</v>
      </c>
      <c r="AO315" s="1">
        <v>9.2964684466019423E-2</v>
      </c>
      <c r="AP315" s="1">
        <v>3.9155242718446601E-2</v>
      </c>
      <c r="AQ315" s="4">
        <f>SUM(AO315:AP315)</f>
        <v>0.13211992718446602</v>
      </c>
      <c r="AR315" s="1">
        <v>0.33142896440129449</v>
      </c>
      <c r="AS315" s="1">
        <v>0.47207204692556637</v>
      </c>
      <c r="AT315" s="1">
        <v>0.1964989886731392</v>
      </c>
      <c r="AU315" s="1">
        <f t="shared" si="70"/>
        <v>0.11214299352750809</v>
      </c>
      <c r="AV315" s="1">
        <v>9</v>
      </c>
      <c r="AW315">
        <v>396</v>
      </c>
      <c r="AX315">
        <v>348</v>
      </c>
      <c r="AY315" s="6">
        <v>12</v>
      </c>
      <c r="AZ315" s="6">
        <v>11</v>
      </c>
      <c r="BA315" s="11">
        <f t="shared" si="71"/>
        <v>24.75</v>
      </c>
      <c r="BB315">
        <f t="shared" si="72"/>
        <v>21.75</v>
      </c>
      <c r="BC315">
        <f t="shared" si="73"/>
        <v>48</v>
      </c>
      <c r="BD315">
        <f t="shared" si="74"/>
        <v>3</v>
      </c>
      <c r="BE315" s="10">
        <v>9.4565768206604108</v>
      </c>
      <c r="BF315" s="6">
        <v>26.33333</v>
      </c>
      <c r="BG315" s="6">
        <v>28.739799999999999</v>
      </c>
      <c r="BH315" s="6">
        <v>0.55625999999999998</v>
      </c>
      <c r="BI315" s="6">
        <v>0</v>
      </c>
      <c r="BJ315" s="6"/>
      <c r="BK315" s="6" t="s">
        <v>67</v>
      </c>
      <c r="BL315" s="6" t="s">
        <v>74</v>
      </c>
      <c r="BM315" s="6" t="s">
        <v>102</v>
      </c>
      <c r="BN315" s="6" t="s">
        <v>75</v>
      </c>
    </row>
    <row r="316" spans="1:66">
      <c r="A316" s="1" t="s">
        <v>426</v>
      </c>
      <c r="B316" s="1">
        <v>2013</v>
      </c>
      <c r="C316" s="1" t="s">
        <v>134</v>
      </c>
      <c r="D316" s="1">
        <v>2897535</v>
      </c>
      <c r="E316" s="1">
        <v>9182062</v>
      </c>
      <c r="F316" s="1">
        <v>16963177</v>
      </c>
      <c r="G316" s="1">
        <v>10569598</v>
      </c>
      <c r="H316" s="2">
        <f>SUM(F316:G316)</f>
        <v>27532775</v>
      </c>
      <c r="I316" s="2">
        <f>H316+E316</f>
        <v>36714837</v>
      </c>
      <c r="J316" s="1">
        <v>17581156</v>
      </c>
      <c r="K316" s="2">
        <f>SUM(D316:G316)</f>
        <v>39612372</v>
      </c>
      <c r="L316" s="1">
        <v>57193528</v>
      </c>
      <c r="M316" s="1">
        <v>11028483</v>
      </c>
      <c r="N316" s="1">
        <v>10194288</v>
      </c>
      <c r="O316" s="4">
        <f>SUM(M316:N316)</f>
        <v>21222771</v>
      </c>
      <c r="P316" s="1">
        <v>7666512</v>
      </c>
      <c r="Q316" s="4">
        <f>SUM(O316:P316)</f>
        <v>28889283</v>
      </c>
      <c r="R316" s="1">
        <v>10696955</v>
      </c>
      <c r="S316" s="1">
        <v>13185741</v>
      </c>
      <c r="T316" s="4">
        <f>SUM(R316:S316)</f>
        <v>23882696</v>
      </c>
      <c r="U316" s="1">
        <v>52771979</v>
      </c>
      <c r="V316" s="1">
        <v>2013</v>
      </c>
      <c r="W316" s="8">
        <v>7843921</v>
      </c>
      <c r="X316" s="1">
        <v>0.75</v>
      </c>
      <c r="Y316" s="1">
        <v>1</v>
      </c>
      <c r="Z316" s="1">
        <v>0</v>
      </c>
      <c r="AA316" s="1">
        <v>123600000</v>
      </c>
      <c r="AB316" s="1">
        <v>2.3442839805825243E-2</v>
      </c>
      <c r="AC316" s="1">
        <v>7.4288527508090618E-2</v>
      </c>
      <c r="AD316" s="1">
        <v>0.13724253236245954</v>
      </c>
      <c r="AE316" s="1">
        <v>8.5514546925566343E-2</v>
      </c>
      <c r="AF316" s="2">
        <f>SUM(AD316:AE316)</f>
        <v>0.22275707928802588</v>
      </c>
      <c r="AG316" s="2">
        <f>AF316+AC316</f>
        <v>0.29704560679611647</v>
      </c>
      <c r="AH316" s="1">
        <v>0.14224236245954694</v>
      </c>
      <c r="AI316" s="2">
        <f>SUM(AB316:AE316)</f>
        <v>0.32048844660194176</v>
      </c>
      <c r="AJ316" s="1">
        <v>8.9227208737864078E-2</v>
      </c>
      <c r="AK316" s="1">
        <v>8.2478058252427183E-2</v>
      </c>
      <c r="AL316" s="4">
        <f>SUM(AJ316:AK316)</f>
        <v>0.17170526699029126</v>
      </c>
      <c r="AM316" s="1">
        <v>6.2026796116504856E-2</v>
      </c>
      <c r="AN316" s="4">
        <f>SUM(AL316:AM316)</f>
        <v>0.23373206310679612</v>
      </c>
      <c r="AO316" s="1">
        <v>8.6544943365695792E-2</v>
      </c>
      <c r="AP316" s="1">
        <v>0.10668075242718447</v>
      </c>
      <c r="AQ316" s="4">
        <f>SUM(AO316:AP316)</f>
        <v>0.19322569579288026</v>
      </c>
      <c r="AR316" s="1">
        <v>0.42695775889967635</v>
      </c>
      <c r="AS316" s="1">
        <v>0.46273080906148867</v>
      </c>
      <c r="AT316" s="1">
        <v>0.11031143203883498</v>
      </c>
      <c r="AU316" s="1">
        <f t="shared" si="70"/>
        <v>6.346214401294499E-2</v>
      </c>
      <c r="AV316" s="1">
        <v>12</v>
      </c>
      <c r="AW316">
        <v>406</v>
      </c>
      <c r="AX316">
        <v>272</v>
      </c>
      <c r="AY316" s="6">
        <v>11</v>
      </c>
      <c r="AZ316" s="6">
        <v>3</v>
      </c>
      <c r="BA316" s="11">
        <f t="shared" si="71"/>
        <v>25.375</v>
      </c>
      <c r="BB316">
        <f t="shared" si="72"/>
        <v>17</v>
      </c>
      <c r="BC316">
        <f t="shared" si="73"/>
        <v>134</v>
      </c>
      <c r="BD316">
        <f t="shared" si="74"/>
        <v>8.375</v>
      </c>
      <c r="BE316" s="10">
        <v>11.954297791015501</v>
      </c>
      <c r="BF316" s="6">
        <v>26.5</v>
      </c>
      <c r="BG316" s="6">
        <v>28.33907</v>
      </c>
      <c r="BH316" s="6">
        <v>0.51579900000000001</v>
      </c>
      <c r="BI316" s="6">
        <v>0</v>
      </c>
      <c r="BJ316" s="6"/>
      <c r="BK316" s="6" t="s">
        <v>80</v>
      </c>
      <c r="BL316" s="6" t="s">
        <v>74</v>
      </c>
      <c r="BM316" s="6" t="s">
        <v>81</v>
      </c>
      <c r="BN316" s="6" t="s">
        <v>75</v>
      </c>
    </row>
    <row r="317" spans="1:66">
      <c r="A317" s="1" t="s">
        <v>427</v>
      </c>
      <c r="B317" s="1">
        <v>2013</v>
      </c>
      <c r="C317" s="1" t="s">
        <v>136</v>
      </c>
      <c r="D317" s="1">
        <v>1557085</v>
      </c>
      <c r="E317" s="1">
        <v>10799653</v>
      </c>
      <c r="F317" s="1">
        <v>16831423</v>
      </c>
      <c r="G317" s="1">
        <v>12778788</v>
      </c>
      <c r="H317" s="2">
        <f>SUM(F317:G317)</f>
        <v>29610211</v>
      </c>
      <c r="I317" s="2">
        <f>H317+E317</f>
        <v>40409864</v>
      </c>
      <c r="J317" s="1">
        <v>27955261</v>
      </c>
      <c r="K317" s="2">
        <f>SUM(D317:G317)</f>
        <v>41966949</v>
      </c>
      <c r="L317" s="1">
        <v>69922210</v>
      </c>
      <c r="M317" s="1">
        <v>7701509</v>
      </c>
      <c r="N317" s="1">
        <v>25013832</v>
      </c>
      <c r="O317" s="4">
        <f>SUM(M317:N317)</f>
        <v>32715341</v>
      </c>
      <c r="P317" s="1">
        <v>7377232</v>
      </c>
      <c r="Q317" s="4">
        <f>SUM(O317:P317)</f>
        <v>40092573</v>
      </c>
      <c r="R317" s="1">
        <v>8579619</v>
      </c>
      <c r="S317" s="1">
        <v>3507877</v>
      </c>
      <c r="T317" s="4">
        <f>SUM(R317:S317)</f>
        <v>12087496</v>
      </c>
      <c r="U317" s="1">
        <v>52180069</v>
      </c>
      <c r="V317" s="1">
        <v>2013</v>
      </c>
      <c r="W317" s="8">
        <v>23494782</v>
      </c>
      <c r="X317" s="1">
        <v>0.81299999999999994</v>
      </c>
      <c r="Y317" s="1">
        <v>1</v>
      </c>
      <c r="Z317" s="1">
        <v>1</v>
      </c>
      <c r="AA317" s="1">
        <v>123600000</v>
      </c>
      <c r="AB317" s="1">
        <v>1.2597775080906148E-2</v>
      </c>
      <c r="AC317" s="1">
        <v>8.7375833333333333E-2</v>
      </c>
      <c r="AD317" s="1">
        <v>0.13617656148867313</v>
      </c>
      <c r="AE317" s="1">
        <v>0.10338825242718447</v>
      </c>
      <c r="AF317" s="2">
        <f>SUM(AD317:AE317)</f>
        <v>0.2395648139158576</v>
      </c>
      <c r="AG317" s="2">
        <f>AF317+AC317</f>
        <v>0.32694064724919092</v>
      </c>
      <c r="AH317" s="1">
        <v>0.22617525080906148</v>
      </c>
      <c r="AI317" s="2">
        <f>SUM(AB317:AE317)</f>
        <v>0.33953842233009707</v>
      </c>
      <c r="AJ317" s="1">
        <v>6.2309943365695793E-2</v>
      </c>
      <c r="AK317" s="1">
        <v>0.20237728155339807</v>
      </c>
      <c r="AL317" s="4">
        <f>SUM(AJ317:AK317)</f>
        <v>0.26468722491909386</v>
      </c>
      <c r="AM317" s="1">
        <v>5.9686343042071197E-2</v>
      </c>
      <c r="AN317" s="4">
        <f>SUM(AL317:AM317)</f>
        <v>0.32437356796116507</v>
      </c>
      <c r="AO317" s="1">
        <v>6.9414393203883498E-2</v>
      </c>
      <c r="AP317" s="1">
        <v>2.8380881877022653E-2</v>
      </c>
      <c r="AQ317" s="4">
        <f>SUM(AO317:AP317)</f>
        <v>9.7795275080906158E-2</v>
      </c>
      <c r="AR317" s="1">
        <v>0.4221688430420712</v>
      </c>
      <c r="AS317" s="1">
        <v>0.56571367313915855</v>
      </c>
      <c r="AT317" s="1">
        <v>1.2117483818770314E-2</v>
      </c>
      <c r="AU317" s="1">
        <f t="shared" si="70"/>
        <v>0.19008723300970873</v>
      </c>
      <c r="AV317" s="1">
        <v>13</v>
      </c>
      <c r="AW317">
        <v>417</v>
      </c>
      <c r="AX317">
        <v>231</v>
      </c>
      <c r="AY317" s="6">
        <v>8</v>
      </c>
      <c r="AZ317" s="6">
        <v>1</v>
      </c>
      <c r="BA317" s="11">
        <f t="shared" si="71"/>
        <v>26.0625</v>
      </c>
      <c r="BB317">
        <f t="shared" si="72"/>
        <v>14.4375</v>
      </c>
      <c r="BC317">
        <f t="shared" si="73"/>
        <v>186</v>
      </c>
      <c r="BD317">
        <f t="shared" si="74"/>
        <v>11.625</v>
      </c>
      <c r="BE317" s="10">
        <v>13.464547680067501</v>
      </c>
      <c r="BF317" s="6">
        <v>25.66667</v>
      </c>
      <c r="BG317" s="6">
        <v>26.992529999999999</v>
      </c>
      <c r="BH317" s="6">
        <v>0.59743500000000005</v>
      </c>
      <c r="BI317" s="6">
        <v>0</v>
      </c>
      <c r="BJ317" s="6"/>
      <c r="BK317" s="6" t="s">
        <v>73</v>
      </c>
      <c r="BL317" s="6" t="s">
        <v>68</v>
      </c>
      <c r="BM317" s="6" t="s">
        <v>99</v>
      </c>
      <c r="BN317" s="6" t="s">
        <v>93</v>
      </c>
    </row>
    <row r="318" spans="1:66">
      <c r="A318" s="1" t="s">
        <v>428</v>
      </c>
      <c r="B318" s="1">
        <v>2013</v>
      </c>
      <c r="C318" s="1" t="s">
        <v>116</v>
      </c>
      <c r="D318" s="1">
        <v>13705176</v>
      </c>
      <c r="E318" s="1">
        <v>2637944</v>
      </c>
      <c r="F318" s="1">
        <v>5479738</v>
      </c>
      <c r="G318" s="1">
        <v>6217555</v>
      </c>
      <c r="H318" s="2">
        <f>SUM(F318:G318)</f>
        <v>11697293</v>
      </c>
      <c r="I318" s="2">
        <f>H318+E318</f>
        <v>14335237</v>
      </c>
      <c r="J318" s="1">
        <v>19240160</v>
      </c>
      <c r="K318" s="2">
        <f>SUM(D318:G318)</f>
        <v>28040413</v>
      </c>
      <c r="L318" s="1">
        <v>47280573</v>
      </c>
      <c r="M318" s="1">
        <v>9376091</v>
      </c>
      <c r="N318" s="1">
        <v>13967275</v>
      </c>
      <c r="O318" s="4">
        <f>SUM(M318:N318)</f>
        <v>23343366</v>
      </c>
      <c r="P318" s="1">
        <v>15711252</v>
      </c>
      <c r="Q318" s="4">
        <f>SUM(O318:P318)</f>
        <v>39054618</v>
      </c>
      <c r="R318" s="1">
        <v>3645196</v>
      </c>
      <c r="S318" s="1">
        <v>17453159</v>
      </c>
      <c r="T318" s="4">
        <f>SUM(R318:S318)</f>
        <v>21098355</v>
      </c>
      <c r="U318" s="1">
        <v>60152973</v>
      </c>
      <c r="V318" s="1">
        <v>2013</v>
      </c>
      <c r="W318" s="8">
        <v>39407666</v>
      </c>
      <c r="X318" s="1">
        <v>0.438</v>
      </c>
      <c r="Y318" s="1">
        <v>0</v>
      </c>
      <c r="Z318" s="1">
        <v>0</v>
      </c>
      <c r="AA318" s="1">
        <v>123600000</v>
      </c>
      <c r="AB318" s="1">
        <v>0.11088330097087379</v>
      </c>
      <c r="AC318" s="1">
        <v>2.1342588996763754E-2</v>
      </c>
      <c r="AD318" s="1">
        <v>4.4334449838187705E-2</v>
      </c>
      <c r="AE318" s="1">
        <v>5.0303843042071195E-2</v>
      </c>
      <c r="AF318" s="2">
        <f>SUM(AD318:AE318)</f>
        <v>9.4638292880258906E-2</v>
      </c>
      <c r="AG318" s="2">
        <f>AF318+AC318</f>
        <v>0.11598088187702266</v>
      </c>
      <c r="AH318" s="1">
        <v>0.15566472491909386</v>
      </c>
      <c r="AI318" s="2">
        <f>SUM(AB318:AE318)</f>
        <v>0.22686418284789645</v>
      </c>
      <c r="AJ318" s="1">
        <v>7.585834142394822E-2</v>
      </c>
      <c r="AK318" s="1">
        <v>0.1130038430420712</v>
      </c>
      <c r="AL318" s="4">
        <f>SUM(AJ318:AK318)</f>
        <v>0.18886218446601943</v>
      </c>
      <c r="AM318" s="1">
        <v>0.12711368932038836</v>
      </c>
      <c r="AN318" s="4">
        <f>SUM(AL318:AM318)</f>
        <v>0.31597587378640779</v>
      </c>
      <c r="AO318" s="1">
        <v>2.9491877022653722E-2</v>
      </c>
      <c r="AP318" s="1">
        <v>0.14120678802588996</v>
      </c>
      <c r="AQ318" s="4">
        <f>SUM(AO318:AP318)</f>
        <v>0.17069866504854367</v>
      </c>
      <c r="AR318" s="1">
        <v>0.48667453883495143</v>
      </c>
      <c r="AS318" s="1">
        <v>0.38252890776699028</v>
      </c>
      <c r="AT318" s="1">
        <v>0.13079655339805829</v>
      </c>
      <c r="AU318" s="1">
        <f t="shared" si="70"/>
        <v>0.3188322491909385</v>
      </c>
      <c r="AV318" s="1">
        <v>7</v>
      </c>
      <c r="AW318">
        <v>348</v>
      </c>
      <c r="AX318">
        <v>364</v>
      </c>
      <c r="AY318" s="6">
        <v>21</v>
      </c>
      <c r="AZ318" s="6">
        <v>13</v>
      </c>
      <c r="BA318" s="11">
        <f t="shared" si="71"/>
        <v>21.75</v>
      </c>
      <c r="BB318">
        <f t="shared" si="72"/>
        <v>22.75</v>
      </c>
      <c r="BC318">
        <f t="shared" si="73"/>
        <v>-16</v>
      </c>
      <c r="BD318">
        <f t="shared" si="74"/>
        <v>-1</v>
      </c>
      <c r="BE318" s="10">
        <v>7.5978077264426602</v>
      </c>
      <c r="BF318" s="6">
        <v>25.25</v>
      </c>
      <c r="BG318" s="6">
        <v>26.89996</v>
      </c>
      <c r="BH318" s="6">
        <v>0.64724400000000004</v>
      </c>
      <c r="BI318" s="6">
        <v>0</v>
      </c>
      <c r="BJ318" s="6"/>
      <c r="BK318" s="6" t="s">
        <v>73</v>
      </c>
      <c r="BL318" s="6" t="s">
        <v>96</v>
      </c>
      <c r="BM318" s="6" t="s">
        <v>93</v>
      </c>
      <c r="BN318" s="6" t="s">
        <v>93</v>
      </c>
    </row>
    <row r="319" spans="1:66">
      <c r="A319" s="1" t="s">
        <v>429</v>
      </c>
      <c r="B319" s="1">
        <v>2013</v>
      </c>
      <c r="C319" s="1" t="s">
        <v>138</v>
      </c>
      <c r="D319" s="1">
        <v>1184375</v>
      </c>
      <c r="E319" s="1">
        <v>4644753</v>
      </c>
      <c r="F319" s="1">
        <v>13444505</v>
      </c>
      <c r="G319" s="1">
        <v>2393504</v>
      </c>
      <c r="H319" s="2">
        <f>SUM(F319:G319)</f>
        <v>15838009</v>
      </c>
      <c r="I319" s="2">
        <f>H319+E319</f>
        <v>20482762</v>
      </c>
      <c r="J319" s="1">
        <v>25305673</v>
      </c>
      <c r="K319" s="2">
        <f>SUM(D319:G319)</f>
        <v>21667137</v>
      </c>
      <c r="L319" s="1">
        <v>46972810</v>
      </c>
      <c r="M319" s="1">
        <v>14773893</v>
      </c>
      <c r="N319" s="1">
        <v>5032152</v>
      </c>
      <c r="O319" s="4">
        <f>SUM(M319:N319)</f>
        <v>19806045</v>
      </c>
      <c r="P319" s="1">
        <v>5804388</v>
      </c>
      <c r="Q319" s="4">
        <f>SUM(O319:P319)</f>
        <v>25610433</v>
      </c>
      <c r="R319" s="1">
        <v>13033579</v>
      </c>
      <c r="S319" s="1">
        <v>19521921</v>
      </c>
      <c r="T319" s="4">
        <f>SUM(R319:S319)</f>
        <v>32555500</v>
      </c>
      <c r="U319" s="1">
        <v>58165933</v>
      </c>
      <c r="V319" s="1">
        <v>2013</v>
      </c>
      <c r="W319" s="8">
        <v>21097643</v>
      </c>
      <c r="X319" s="1">
        <v>0.25</v>
      </c>
      <c r="Y319" s="1">
        <v>0</v>
      </c>
      <c r="Z319" s="1">
        <v>0</v>
      </c>
      <c r="AA319" s="1">
        <v>123600000</v>
      </c>
      <c r="AB319" s="1">
        <v>9.5823220064724917E-3</v>
      </c>
      <c r="AC319" s="1">
        <v>3.7578907766990292E-2</v>
      </c>
      <c r="AD319" s="1">
        <v>0.10877431229773463</v>
      </c>
      <c r="AE319" s="1">
        <v>1.9364919093851133E-2</v>
      </c>
      <c r="AF319" s="2">
        <f>SUM(AD319:AE319)</f>
        <v>0.12813923139158576</v>
      </c>
      <c r="AG319" s="2">
        <f>AF319+AC319</f>
        <v>0.16571813915857606</v>
      </c>
      <c r="AH319" s="1">
        <v>0.20473845469255664</v>
      </c>
      <c r="AI319" s="2">
        <f>SUM(AB319:AE319)</f>
        <v>0.17530046116504855</v>
      </c>
      <c r="AJ319" s="1">
        <v>0.1195298786407767</v>
      </c>
      <c r="AK319" s="1">
        <v>4.0713203883495148E-2</v>
      </c>
      <c r="AL319" s="4">
        <f>SUM(AJ319:AK319)</f>
        <v>0.16024308252427186</v>
      </c>
      <c r="AM319" s="1">
        <v>4.6961067961165046E-2</v>
      </c>
      <c r="AN319" s="4">
        <f>SUM(AL319:AM319)</f>
        <v>0.20720415048543689</v>
      </c>
      <c r="AO319" s="1">
        <v>0.10544966828478965</v>
      </c>
      <c r="AP319" s="1">
        <v>0.15794434466019416</v>
      </c>
      <c r="AQ319" s="4">
        <f>SUM(AO319:AP319)</f>
        <v>0.26339401294498382</v>
      </c>
      <c r="AR319" s="1">
        <v>0.47059816343042071</v>
      </c>
      <c r="AS319" s="1">
        <v>0.38003891585760519</v>
      </c>
      <c r="AT319" s="1">
        <v>0.1493629207119741</v>
      </c>
      <c r="AU319" s="1">
        <f t="shared" si="70"/>
        <v>0.17069290453074434</v>
      </c>
      <c r="AV319" s="1">
        <v>4</v>
      </c>
      <c r="AW319">
        <v>288</v>
      </c>
      <c r="AX319">
        <v>389</v>
      </c>
      <c r="AY319" s="6">
        <v>30</v>
      </c>
      <c r="AZ319" s="6">
        <v>21</v>
      </c>
      <c r="BA319" s="11">
        <f t="shared" si="71"/>
        <v>18</v>
      </c>
      <c r="BB319">
        <f t="shared" si="72"/>
        <v>24.3125</v>
      </c>
      <c r="BC319">
        <f t="shared" si="73"/>
        <v>-101</v>
      </c>
      <c r="BD319">
        <f t="shared" si="74"/>
        <v>-6.3125</v>
      </c>
      <c r="BE319" s="10">
        <v>5.1291300231847003</v>
      </c>
      <c r="BF319" s="6">
        <v>25.705880000000001</v>
      </c>
      <c r="BG319" s="6">
        <v>27.154900000000001</v>
      </c>
      <c r="BH319" s="6">
        <v>0.64208399999999999</v>
      </c>
      <c r="BI319" s="6">
        <v>0</v>
      </c>
      <c r="BJ319" s="6"/>
      <c r="BK319" s="6" t="s">
        <v>73</v>
      </c>
      <c r="BL319" s="6" t="s">
        <v>96</v>
      </c>
      <c r="BM319" s="6" t="s">
        <v>93</v>
      </c>
      <c r="BN319" s="6" t="s">
        <v>93</v>
      </c>
    </row>
    <row r="320" spans="1:66">
      <c r="A320" s="1" t="s">
        <v>430</v>
      </c>
      <c r="B320" s="1">
        <v>2013</v>
      </c>
      <c r="C320" s="1" t="s">
        <v>140</v>
      </c>
      <c r="D320" s="1">
        <v>6336958</v>
      </c>
      <c r="E320" s="1">
        <v>15376098</v>
      </c>
      <c r="F320" s="1">
        <v>12686896</v>
      </c>
      <c r="G320" s="1">
        <v>6979500</v>
      </c>
      <c r="H320" s="2">
        <f>SUM(F320:G320)</f>
        <v>19666396</v>
      </c>
      <c r="I320" s="2">
        <f>H320+E320</f>
        <v>35042494</v>
      </c>
      <c r="J320" s="1">
        <v>26721984</v>
      </c>
      <c r="K320" s="2">
        <f>SUM(D320:G320)</f>
        <v>41379452</v>
      </c>
      <c r="L320" s="1">
        <v>68101436</v>
      </c>
      <c r="M320" s="1">
        <v>6496528</v>
      </c>
      <c r="N320" s="1">
        <v>8776293</v>
      </c>
      <c r="O320" s="4">
        <f>SUM(M320:N320)</f>
        <v>15272821</v>
      </c>
      <c r="P320" s="1">
        <v>5740835</v>
      </c>
      <c r="Q320" s="4">
        <f>SUM(O320:P320)</f>
        <v>21013656</v>
      </c>
      <c r="R320" s="1">
        <v>10777066</v>
      </c>
      <c r="S320" s="1">
        <v>9602477</v>
      </c>
      <c r="T320" s="4">
        <f>SUM(R320:S320)</f>
        <v>20379543</v>
      </c>
      <c r="U320" s="1">
        <v>41393199</v>
      </c>
      <c r="V320" s="1">
        <v>2013</v>
      </c>
      <c r="W320" s="8">
        <v>4241818</v>
      </c>
      <c r="X320" s="1">
        <v>0.438</v>
      </c>
      <c r="Y320" s="1">
        <v>0</v>
      </c>
      <c r="Z320" s="1">
        <v>0</v>
      </c>
      <c r="AA320" s="1">
        <v>123600000</v>
      </c>
      <c r="AB320" s="1">
        <v>5.1269886731391587E-2</v>
      </c>
      <c r="AC320" s="1">
        <v>0.12440208737864078</v>
      </c>
      <c r="AD320" s="1">
        <v>0.10264478964401294</v>
      </c>
      <c r="AE320" s="1">
        <v>5.6468446601941745E-2</v>
      </c>
      <c r="AF320" s="2">
        <f>SUM(AD320:AE320)</f>
        <v>0.15911323624595469</v>
      </c>
      <c r="AG320" s="2">
        <f>AF320+AC320</f>
        <v>0.28351532362459547</v>
      </c>
      <c r="AH320" s="1">
        <v>0.21619728155339807</v>
      </c>
      <c r="AI320" s="2">
        <f>SUM(AB320:AE320)</f>
        <v>0.33478521035598707</v>
      </c>
      <c r="AJ320" s="1">
        <v>5.2560906148867312E-2</v>
      </c>
      <c r="AK320" s="1">
        <v>7.1005606796116505E-2</v>
      </c>
      <c r="AL320" s="4">
        <f>SUM(AJ320:AK320)</f>
        <v>0.12356651294498382</v>
      </c>
      <c r="AM320" s="1">
        <v>4.644688511326861E-2</v>
      </c>
      <c r="AN320" s="4">
        <f>SUM(AL320:AM320)</f>
        <v>0.17001339805825244</v>
      </c>
      <c r="AO320" s="1">
        <v>8.7193090614886726E-2</v>
      </c>
      <c r="AP320" s="1">
        <v>7.7689943365695791E-2</v>
      </c>
      <c r="AQ320" s="4">
        <f>SUM(AO320:AP320)</f>
        <v>0.16488303398058252</v>
      </c>
      <c r="AR320" s="1">
        <v>0.33489643203883496</v>
      </c>
      <c r="AS320" s="1">
        <v>0.55098249190938509</v>
      </c>
      <c r="AT320" s="1">
        <v>0.1141210760517799</v>
      </c>
      <c r="AU320" s="1">
        <f t="shared" si="70"/>
        <v>3.431891585760518E-2</v>
      </c>
      <c r="AV320" s="1">
        <v>7</v>
      </c>
      <c r="AW320">
        <v>362</v>
      </c>
      <c r="AX320">
        <v>381</v>
      </c>
      <c r="AY320" s="6">
        <v>19</v>
      </c>
      <c r="AZ320" s="6">
        <v>16</v>
      </c>
      <c r="BA320" s="11">
        <f t="shared" si="71"/>
        <v>22.625</v>
      </c>
      <c r="BB320">
        <f t="shared" si="72"/>
        <v>23.8125</v>
      </c>
      <c r="BC320">
        <f t="shared" si="73"/>
        <v>-19</v>
      </c>
      <c r="BD320">
        <f t="shared" si="74"/>
        <v>-1.1875</v>
      </c>
      <c r="BE320" s="10">
        <v>7.5106779251512004</v>
      </c>
      <c r="BF320" s="6">
        <v>26.406780000000001</v>
      </c>
      <c r="BG320" s="6">
        <v>27.749490000000002</v>
      </c>
      <c r="BH320" s="6">
        <v>0.54824799999999996</v>
      </c>
      <c r="BI320" s="6">
        <v>0</v>
      </c>
      <c r="BJ320" s="6"/>
      <c r="BK320" s="6" t="s">
        <v>80</v>
      </c>
      <c r="BL320" s="6" t="s">
        <v>74</v>
      </c>
      <c r="BM320" s="6" t="s">
        <v>81</v>
      </c>
      <c r="BN320" s="6" t="s">
        <v>75</v>
      </c>
    </row>
    <row r="321" spans="1:66">
      <c r="A321" s="1" t="s">
        <v>431</v>
      </c>
      <c r="B321" s="1">
        <v>2013</v>
      </c>
      <c r="C321" s="1" t="s">
        <v>142</v>
      </c>
      <c r="D321" s="1">
        <v>5972967</v>
      </c>
      <c r="E321" s="1">
        <v>2212882</v>
      </c>
      <c r="F321" s="1">
        <v>19735321</v>
      </c>
      <c r="G321" s="1">
        <v>4645357</v>
      </c>
      <c r="H321" s="2">
        <f>SUM(F321:G321)</f>
        <v>24380678</v>
      </c>
      <c r="I321" s="2">
        <f>H321+E321</f>
        <v>26593560</v>
      </c>
      <c r="J321" s="1">
        <v>20025614</v>
      </c>
      <c r="K321" s="2">
        <f>SUM(D321:G321)</f>
        <v>32566527</v>
      </c>
      <c r="L321" s="1">
        <v>52592141</v>
      </c>
      <c r="M321" s="1">
        <v>14227749</v>
      </c>
      <c r="N321" s="1">
        <v>9152416</v>
      </c>
      <c r="O321" s="4">
        <f>SUM(M321:N321)</f>
        <v>23380165</v>
      </c>
      <c r="P321" s="1">
        <v>10476684</v>
      </c>
      <c r="Q321" s="4">
        <f>SUM(O321:P321)</f>
        <v>33856849</v>
      </c>
      <c r="R321" s="1">
        <v>4619719</v>
      </c>
      <c r="S321" s="1">
        <v>7102431</v>
      </c>
      <c r="T321" s="4">
        <f>SUM(R321:S321)</f>
        <v>11722150</v>
      </c>
      <c r="U321" s="1">
        <v>45578999</v>
      </c>
      <c r="V321" s="1">
        <v>2013</v>
      </c>
      <c r="W321" s="8">
        <v>13195216</v>
      </c>
      <c r="X321" s="1">
        <v>0.188</v>
      </c>
      <c r="Y321" s="1">
        <v>0</v>
      </c>
      <c r="Z321" s="1">
        <v>0</v>
      </c>
      <c r="AA321" s="1">
        <v>123600000</v>
      </c>
      <c r="AB321" s="1">
        <v>4.8324975728155341E-2</v>
      </c>
      <c r="AC321" s="1">
        <v>1.7903576051779935E-2</v>
      </c>
      <c r="AD321" s="1">
        <v>0.15967088187702266</v>
      </c>
      <c r="AE321" s="1">
        <v>3.7583794498381874E-2</v>
      </c>
      <c r="AF321" s="2">
        <f>SUM(AD321:AE321)</f>
        <v>0.19725467637540453</v>
      </c>
      <c r="AG321" s="2">
        <f>AF321+AC321</f>
        <v>0.21515825242718448</v>
      </c>
      <c r="AH321" s="1">
        <v>0.16201953074433656</v>
      </c>
      <c r="AI321" s="2">
        <f>SUM(AB321:AE321)</f>
        <v>0.26348322815533981</v>
      </c>
      <c r="AJ321" s="1">
        <v>0.11511123786407768</v>
      </c>
      <c r="AK321" s="1">
        <v>7.4048673139158583E-2</v>
      </c>
      <c r="AL321" s="4">
        <f>SUM(AJ321:AK321)</f>
        <v>0.18915991100323626</v>
      </c>
      <c r="AM321" s="1">
        <v>8.4762815533980587E-2</v>
      </c>
      <c r="AN321" s="4">
        <f>SUM(AL321:AM321)</f>
        <v>0.27392272653721683</v>
      </c>
      <c r="AO321" s="1">
        <v>3.7376367313915859E-2</v>
      </c>
      <c r="AP321" s="1">
        <v>5.7463033980582522E-2</v>
      </c>
      <c r="AQ321" s="4">
        <f>SUM(AO321:AP321)</f>
        <v>9.4839401294498388E-2</v>
      </c>
      <c r="AR321" s="1">
        <v>0.36876212783171519</v>
      </c>
      <c r="AS321" s="1">
        <v>0.42550275889967637</v>
      </c>
      <c r="AT321" s="1">
        <v>0.20573511326860849</v>
      </c>
      <c r="AU321" s="1">
        <f t="shared" si="70"/>
        <v>0.10675741100323624</v>
      </c>
      <c r="AV321" s="1">
        <v>3</v>
      </c>
      <c r="AW321">
        <v>334</v>
      </c>
      <c r="AX321">
        <v>478</v>
      </c>
      <c r="AY321" s="6">
        <v>23</v>
      </c>
      <c r="AZ321" s="6">
        <v>30</v>
      </c>
      <c r="BA321" s="11">
        <f t="shared" si="71"/>
        <v>20.875</v>
      </c>
      <c r="BB321">
        <f t="shared" si="72"/>
        <v>29.875</v>
      </c>
      <c r="BC321">
        <f t="shared" si="73"/>
        <v>-144</v>
      </c>
      <c r="BD321">
        <f t="shared" si="74"/>
        <v>-9</v>
      </c>
      <c r="BE321" s="10">
        <v>3.8802695380071399</v>
      </c>
      <c r="BF321" s="6">
        <v>26.5</v>
      </c>
      <c r="BG321" s="6">
        <v>27.912179999999999</v>
      </c>
      <c r="BH321" s="6">
        <v>0.53095199999999998</v>
      </c>
      <c r="BI321" s="6">
        <v>0</v>
      </c>
      <c r="BJ321" s="6"/>
      <c r="BK321" s="6" t="s">
        <v>80</v>
      </c>
      <c r="BL321" s="6" t="s">
        <v>74</v>
      </c>
      <c r="BM321" s="6" t="s">
        <v>81</v>
      </c>
      <c r="BN321" s="6" t="s">
        <v>75</v>
      </c>
    </row>
    <row r="325" spans="1:66">
      <c r="A325" s="1"/>
      <c r="B325" s="1"/>
      <c r="C325" s="1"/>
      <c r="D325" s="1"/>
      <c r="E325" s="1"/>
      <c r="F325" s="1"/>
      <c r="G325" s="1"/>
      <c r="H325" s="2"/>
      <c r="I325" s="2"/>
      <c r="J325" s="1"/>
      <c r="K325" s="2"/>
      <c r="L325" s="1"/>
      <c r="M325" s="1"/>
      <c r="N325" s="1"/>
      <c r="O325" s="4"/>
      <c r="P325" s="1"/>
      <c r="Q325" s="4"/>
      <c r="R325" s="1"/>
      <c r="S325" s="1"/>
      <c r="T325" s="4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2"/>
      <c r="AG325" s="2"/>
      <c r="AH325" s="1"/>
      <c r="AI325" s="2"/>
      <c r="AJ325" s="1"/>
      <c r="AK325" s="1"/>
      <c r="AL325" s="4"/>
      <c r="AM325" s="1"/>
      <c r="AN325" s="4"/>
      <c r="AO325" s="1"/>
      <c r="AP325" s="1"/>
      <c r="AQ325" s="4"/>
      <c r="AR325" s="1"/>
      <c r="AS325" s="1"/>
      <c r="AT325" s="1"/>
      <c r="AU325" s="1"/>
      <c r="AV325" s="1"/>
      <c r="BE325" s="1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EB5D2A2971649B116BD651312D997" ma:contentTypeVersion="3" ma:contentTypeDescription="Create a new document." ma:contentTypeScope="" ma:versionID="a1e1436358921ef37a5fcf433ace5aae">
  <xsd:schema xmlns:xsd="http://www.w3.org/2001/XMLSchema" xmlns:xs="http://www.w3.org/2001/XMLSchema" xmlns:p="http://schemas.microsoft.com/office/2006/metadata/properties" xmlns:ns2="bd93836e-c7e7-44d0-bb6d-05af52fec6a5" targetNamespace="http://schemas.microsoft.com/office/2006/metadata/properties" ma:root="true" ma:fieldsID="08537fe3426aa02d80eec455810ad35b" ns2:_="">
    <xsd:import namespace="bd93836e-c7e7-44d0-bb6d-05af52fec6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3836e-c7e7-44d0-bb6d-05af52fec6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83F1D7-0782-4E8D-A6F4-D6E1F6F4F654}"/>
</file>

<file path=customXml/itemProps2.xml><?xml version="1.0" encoding="utf-8"?>
<ds:datastoreItem xmlns:ds="http://schemas.openxmlformats.org/officeDocument/2006/customXml" ds:itemID="{6E92D6D5-3FD2-41D4-BDFA-1447A95A275E}"/>
</file>

<file path=customXml/itemProps3.xml><?xml version="1.0" encoding="utf-8"?>
<ds:datastoreItem xmlns:ds="http://schemas.openxmlformats.org/officeDocument/2006/customXml" ds:itemID="{96AD2F5D-FE66-4802-A137-19C8149FE6E4}"/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Bukowski</dc:creator>
  <cp:keywords/>
  <dc:description/>
  <cp:lastModifiedBy/>
  <cp:revision/>
  <dcterms:created xsi:type="dcterms:W3CDTF">2023-12-01T15:59:00Z</dcterms:created>
  <dcterms:modified xsi:type="dcterms:W3CDTF">2025-11-06T21:19:20Z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0x010100D2EEB5D2A2971649B116BD651312D997</vt:lpwstr>
  </property>
</Properties>
</file>